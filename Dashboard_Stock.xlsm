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slicers/slicer2.xml" ContentType="application/vnd.ms-excel.slicer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amoussou\Downloads\exo\Tableau-de-bord-gestion-de-stock\Tableau de bord - gestion de stock\"/>
    </mc:Choice>
  </mc:AlternateContent>
  <xr:revisionPtr revIDLastSave="0" documentId="8_{F0D360A3-4FD7-4569-8F58-A7939895EE56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Tableau de Bord" sheetId="13" r:id="rId1"/>
    <sheet name="Opérations" sheetId="8" r:id="rId2"/>
    <sheet name="Marchandises" sheetId="9" r:id="rId3"/>
    <sheet name="Entrées" sheetId="10" r:id="rId4"/>
    <sheet name="Sorties" sheetId="11" r:id="rId5"/>
    <sheet name="Inventaire " sheetId="12" r:id="rId6"/>
    <sheet name="Traitement" sheetId="14" r:id="rId7"/>
  </sheets>
  <externalReferences>
    <externalReference r:id="rId8"/>
  </externalReferences>
  <definedNames>
    <definedName name="_xlcn.WorksheetConnection_Gestiondestock.xlsmlesCategories1" hidden="1">lesCategories[]</definedName>
    <definedName name="_xlcn.WorksheetConnection_Gestiondestock.xlsmlesMois1" hidden="1">lesMois[]</definedName>
    <definedName name="_xlcn.WorksheetConnection_Gestiondestock.xlsmlesReferences1" hidden="1">lesReferences[]</definedName>
    <definedName name="_xlcn.WorksheetConnection_Gestiondestock.xlsmlisteAchats1" hidden="1">listeAchats[]</definedName>
    <definedName name="_xlcn.WorksheetConnection_Gestiondestock.xlsmlisteVentes1" hidden="1">listeVentes[]</definedName>
    <definedName name="_xleta.IF" hidden="1" xlm="1">#NAME?</definedName>
    <definedName name="Segment_Catégories">#N/A</definedName>
    <definedName name="Segment_Mois">#N/A</definedName>
    <definedName name="Segment_Références">#N/A</definedName>
  </definedNames>
  <calcPr calcId="191029"/>
  <pivotCaches>
    <pivotCache cacheId="2076" r:id="rId9"/>
    <pivotCache cacheId="2079" r:id="rId10"/>
    <pivotCache cacheId="2082" r:id="rId11"/>
    <pivotCache cacheId="2085" r:id="rId12"/>
    <pivotCache cacheId="2343" r:id="rId13"/>
    <pivotCache cacheId="2430" r:id="rId14"/>
    <pivotCache cacheId="2433" r:id="rId15"/>
    <pivotCache cacheId="2436" r:id="rId16"/>
    <pivotCache cacheId="2439" r:id="rId17"/>
    <pivotCache cacheId="2442" r:id="rId18"/>
    <pivotCache cacheId="2445" r:id="rId19"/>
    <pivotCache cacheId="2448" r:id="rId20"/>
  </pivotCaches>
  <extLst>
    <ext xmlns:x14="http://schemas.microsoft.com/office/spreadsheetml/2009/9/main" uri="{876F7934-8845-4945-9796-88D515C7AA90}">
      <x14:pivotCaches>
        <pivotCache cacheId="7" r:id="rId21"/>
      </x14:pivotCaches>
    </ext>
    <ext xmlns:x14="http://schemas.microsoft.com/office/spreadsheetml/2009/9/main" uri="{BBE1A952-AA13-448e-AADC-164F8A28A991}">
      <x14:slicerCaches>
        <x14:slicerCache r:id="rId22"/>
        <x14:slicerCache r:id="rId23"/>
        <x14:slicerCache r:id="rId2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listeVentes" name="listeVentes" connection="WorksheetConnection_Gestion de stock.xlsm!listeVentes"/>
          <x15:modelTable id="listeAchats" name="listeAchats" connection="WorksheetConnection_Gestion de stock.xlsm!listeAchats"/>
          <x15:modelTable id="lesReferences" name="lesReferences" connection="WorksheetConnection_Gestion de stock.xlsm!lesReferences"/>
          <x15:modelTable id="lesMois" name="lesMois" connection="WorksheetConnection_Gestion de stock.xlsm!lesMois"/>
          <x15:modelTable id="lesCategories" name="lesCategories" connection="WorksheetConnection_Gestion de stock.xlsm!lesCategories"/>
        </x15:modelTables>
        <x15:modelRelationships>
          <x15:modelRelationship fromTable="listeAchats" fromColumn="Catégorie" toTable="lesCategories" toColumn="Catégories"/>
          <x15:modelRelationship fromTable="listeAchats" fromColumn="Référence" toTable="lesReferences" toColumn="Références"/>
          <x15:modelRelationship fromTable="listeAchats" fromColumn="Date (mois)" toTable="lesMois" toColumn="Mois"/>
          <x15:modelRelationship fromTable="listeVentes" fromColumn="Catégorie" toTable="lesCategories" toColumn="Catégories"/>
          <x15:modelRelationship fromTable="listeVentes" fromColumn="Référence" toTable="lesReferences" toColumn="Références"/>
          <x15:modelRelationship fromTable="listeVentes" fromColumn="Date (mois)" toTable="lesMois" toColumn="Mois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listeAchats" columnName="Date" columnId="Date">
                <x16:calculatedTimeColumn columnName="Date (index des mois)" columnId="Date (index des mois)" contentType="monthsindex" isSelected="1"/>
                <x16:calculatedTimeColumn columnName="Date (mois)" columnId="Date (mois)" contentType="months" isSelected="1"/>
              </x16:modelTimeGrouping>
              <x16:modelTimeGrouping tableName="listeVentes" columnName="Date" columnId="Date">
                <x16:calculatedTimeColumn columnName="Date (index des mois)" columnId="Date (index des mois)" contentType="monthsindex" isSelected="1"/>
                <x16:calculatedTimeColumn columnName="Date (mois)" columnId="Date (moi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6" i="14" l="1"/>
  <c r="E96" i="14" s="1"/>
  <c r="F96" i="14" s="1"/>
  <c r="D97" i="14"/>
  <c r="E97" i="14" s="1"/>
  <c r="F97" i="14" s="1"/>
  <c r="D95" i="14"/>
  <c r="E95" i="14" s="1"/>
  <c r="F95" i="14" s="1"/>
  <c r="F61" i="14"/>
  <c r="F62" i="14"/>
  <c r="F63" i="14"/>
  <c r="F64" i="14"/>
  <c r="F65" i="14"/>
  <c r="F53" i="14"/>
  <c r="F54" i="14"/>
  <c r="F55" i="14"/>
  <c r="F56" i="14"/>
  <c r="F57" i="14"/>
  <c r="K7" i="11"/>
  <c r="K7" i="10"/>
  <c r="K8" i="11"/>
  <c r="K8" i="10"/>
  <c r="G57" i="14" l="1"/>
  <c r="G56" i="14"/>
  <c r="G53" i="14"/>
  <c r="G65" i="14"/>
  <c r="G64" i="14"/>
  <c r="G63" i="14"/>
  <c r="G62" i="14"/>
  <c r="G61" i="14"/>
  <c r="G54" i="14"/>
  <c r="G55" i="14"/>
  <c r="K9" i="11"/>
  <c r="D6" i="12"/>
  <c r="E6" i="12"/>
  <c r="F6" i="12"/>
  <c r="G6" i="12"/>
  <c r="H6" i="12"/>
  <c r="I6" i="12"/>
  <c r="J6" i="12"/>
  <c r="D7" i="12"/>
  <c r="E7" i="12"/>
  <c r="F7" i="12"/>
  <c r="G7" i="12"/>
  <c r="H7" i="12"/>
  <c r="I7" i="12"/>
  <c r="J7" i="12"/>
  <c r="K6" i="12" l="1"/>
  <c r="K7" i="12"/>
  <c r="N7" i="12" s="1"/>
  <c r="E15" i="12"/>
  <c r="K10" i="11"/>
  <c r="N6" i="12" l="1"/>
  <c r="K11" i="11"/>
  <c r="K12" i="11"/>
  <c r="K13" i="11"/>
  <c r="K14" i="11"/>
  <c r="K15" i="11"/>
  <c r="K9" i="10"/>
  <c r="K10" i="10"/>
  <c r="K11" i="10"/>
  <c r="K12" i="10"/>
  <c r="K13" i="10"/>
  <c r="K16" i="11"/>
  <c r="K17" i="11"/>
  <c r="K18" i="11"/>
  <c r="K19" i="11"/>
  <c r="K20" i="11"/>
  <c r="K14" i="10"/>
  <c r="K15" i="10"/>
  <c r="K16" i="10"/>
  <c r="K17" i="10"/>
  <c r="K18" i="10"/>
  <c r="K21" i="11"/>
  <c r="K22" i="11"/>
  <c r="K23" i="11"/>
  <c r="K24" i="11"/>
  <c r="K25" i="11"/>
  <c r="K19" i="10"/>
  <c r="K20" i="10"/>
  <c r="K21" i="10"/>
  <c r="K22" i="10"/>
  <c r="K23" i="10"/>
  <c r="K26" i="11"/>
  <c r="K27" i="11"/>
  <c r="K28" i="11"/>
  <c r="K29" i="11"/>
  <c r="K30" i="11"/>
  <c r="K24" i="10"/>
  <c r="K25" i="10"/>
  <c r="K26" i="10"/>
  <c r="K27" i="10"/>
  <c r="K28" i="10"/>
  <c r="K31" i="11"/>
  <c r="K32" i="11"/>
  <c r="K33" i="11"/>
  <c r="K34" i="11"/>
  <c r="K35" i="11"/>
  <c r="K29" i="10"/>
  <c r="K30" i="10"/>
  <c r="K31" i="10"/>
  <c r="K32" i="10"/>
  <c r="K33" i="10"/>
  <c r="K36" i="11"/>
  <c r="K37" i="11"/>
  <c r="K38" i="11"/>
  <c r="K39" i="11"/>
  <c r="K40" i="11"/>
  <c r="K34" i="10"/>
  <c r="K35" i="10"/>
  <c r="K36" i="10"/>
  <c r="K37" i="10"/>
  <c r="K38" i="10"/>
  <c r="K41" i="11"/>
  <c r="K42" i="11"/>
  <c r="K43" i="11"/>
  <c r="K44" i="11"/>
  <c r="K39" i="10"/>
  <c r="K40" i="10"/>
  <c r="K41" i="10"/>
  <c r="K42" i="10"/>
  <c r="K43" i="10"/>
  <c r="K45" i="11"/>
  <c r="K46" i="11"/>
  <c r="K47" i="11"/>
  <c r="K48" i="11"/>
  <c r="K49" i="11"/>
  <c r="K50" i="11"/>
  <c r="K44" i="10"/>
  <c r="K45" i="10"/>
  <c r="K46" i="10"/>
  <c r="K47" i="10"/>
  <c r="K48" i="10"/>
  <c r="K51" i="11"/>
  <c r="K52" i="11"/>
  <c r="K53" i="11"/>
  <c r="K54" i="11"/>
  <c r="K55" i="11"/>
  <c r="K56" i="11"/>
  <c r="K57" i="11"/>
  <c r="K58" i="11"/>
  <c r="K59" i="11"/>
  <c r="K60" i="11"/>
  <c r="K61" i="11"/>
  <c r="K62" i="11"/>
  <c r="C62" i="11"/>
  <c r="C61" i="11" s="1"/>
  <c r="C60" i="11" s="1"/>
  <c r="C59" i="11" s="1"/>
  <c r="C58" i="11" s="1"/>
  <c r="C57" i="11" s="1"/>
  <c r="C56" i="11" s="1"/>
  <c r="C55" i="11" s="1"/>
  <c r="C54" i="11" s="1"/>
  <c r="C53" i="11" s="1"/>
  <c r="C52" i="11" s="1"/>
  <c r="C51" i="11" s="1"/>
  <c r="C50" i="11" s="1"/>
  <c r="C49" i="11" s="1"/>
  <c r="C48" i="11" s="1"/>
  <c r="C47" i="11" s="1"/>
  <c r="C46" i="11" s="1"/>
  <c r="C45" i="11" s="1"/>
  <c r="C44" i="11" s="1"/>
  <c r="C43" i="11" s="1"/>
  <c r="C42" i="11" s="1"/>
  <c r="C41" i="11" s="1"/>
  <c r="C40" i="11" s="1"/>
  <c r="C39" i="11" s="1"/>
  <c r="C38" i="11" s="1"/>
  <c r="C37" i="11" s="1"/>
  <c r="C36" i="11" s="1"/>
  <c r="C35" i="11" s="1"/>
  <c r="C34" i="11" s="1"/>
  <c r="C33" i="11" s="1"/>
  <c r="C32" i="11" s="1"/>
  <c r="C31" i="11" s="1"/>
  <c r="C30" i="11" s="1"/>
  <c r="C29" i="11" s="1"/>
  <c r="C28" i="11" s="1"/>
  <c r="C27" i="11" s="1"/>
  <c r="C26" i="11" s="1"/>
  <c r="C25" i="11" s="1"/>
  <c r="C24" i="11" s="1"/>
  <c r="C23" i="11" s="1"/>
  <c r="C22" i="11" s="1"/>
  <c r="C21" i="11" s="1"/>
  <c r="C20" i="11" s="1"/>
  <c r="C19" i="11" s="1"/>
  <c r="C18" i="11" s="1"/>
  <c r="C17" i="11" s="1"/>
  <c r="C16" i="11" s="1"/>
  <c r="C15" i="11" s="1"/>
  <c r="C14" i="11" s="1"/>
  <c r="C13" i="11" s="1"/>
  <c r="C12" i="11" s="1"/>
  <c r="C11" i="11" s="1"/>
  <c r="C10" i="11" s="1"/>
  <c r="C9" i="11" s="1"/>
  <c r="C8" i="11" s="1"/>
  <c r="C7" i="11" s="1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C61" i="10"/>
  <c r="C60" i="10" s="1"/>
  <c r="C59" i="10" s="1"/>
  <c r="C58" i="10" s="1"/>
  <c r="C57" i="10" s="1"/>
  <c r="C56" i="10" s="1"/>
  <c r="C55" i="10" s="1"/>
  <c r="C54" i="10" s="1"/>
  <c r="C53" i="10" s="1"/>
  <c r="C52" i="10" s="1"/>
  <c r="C51" i="10" s="1"/>
  <c r="C50" i="10" s="1"/>
  <c r="C49" i="10" s="1"/>
  <c r="C48" i="10" s="1"/>
  <c r="C47" i="10" s="1"/>
  <c r="C46" i="10" s="1"/>
  <c r="C45" i="10" s="1"/>
  <c r="C44" i="10" s="1"/>
  <c r="C43" i="10" s="1"/>
  <c r="C42" i="10" s="1"/>
  <c r="C41" i="10" s="1"/>
  <c r="C40" i="10" s="1"/>
  <c r="C39" i="10" s="1"/>
  <c r="C38" i="10" s="1"/>
  <c r="C37" i="10" s="1"/>
  <c r="C36" i="10" s="1"/>
  <c r="C35" i="10" s="1"/>
  <c r="C34" i="10" s="1"/>
  <c r="C33" i="10" s="1"/>
  <c r="C32" i="10" s="1"/>
  <c r="C31" i="10" s="1"/>
  <c r="C30" i="10" s="1"/>
  <c r="C29" i="10" s="1"/>
  <c r="C28" i="10" s="1"/>
  <c r="C27" i="10" s="1"/>
  <c r="C26" i="10" s="1"/>
  <c r="C25" i="10" s="1"/>
  <c r="C24" i="10" s="1"/>
  <c r="C23" i="10" s="1"/>
  <c r="C22" i="10" s="1"/>
  <c r="C21" i="10" s="1"/>
  <c r="C20" i="10" s="1"/>
  <c r="C19" i="10" s="1"/>
  <c r="C18" i="10" s="1"/>
  <c r="C17" i="10" s="1"/>
  <c r="C16" i="10" s="1"/>
  <c r="C15" i="10" s="1"/>
  <c r="C14" i="10" s="1"/>
  <c r="C13" i="10" s="1"/>
  <c r="C12" i="10" s="1"/>
  <c r="C11" i="10" s="1"/>
  <c r="C10" i="10" s="1"/>
  <c r="C9" i="10" s="1"/>
  <c r="C8" i="10" s="1"/>
  <c r="C7" i="10" s="1"/>
  <c r="J13" i="12"/>
  <c r="J14" i="12"/>
  <c r="J15" i="12"/>
  <c r="J16" i="12"/>
  <c r="I13" i="12"/>
  <c r="I14" i="12"/>
  <c r="I15" i="12"/>
  <c r="I16" i="12"/>
  <c r="H15" i="12"/>
  <c r="G15" i="12"/>
  <c r="F15" i="12"/>
  <c r="D15" i="12"/>
  <c r="J15" i="9"/>
  <c r="J16" i="9"/>
  <c r="J17" i="9"/>
  <c r="J18" i="9"/>
  <c r="J19" i="9"/>
  <c r="J20" i="9"/>
  <c r="J21" i="9"/>
  <c r="E8" i="12"/>
  <c r="H13" i="12"/>
  <c r="H14" i="12"/>
  <c r="H16" i="12"/>
  <c r="G13" i="12"/>
  <c r="G14" i="12"/>
  <c r="G16" i="12"/>
  <c r="F13" i="12"/>
  <c r="F14" i="12"/>
  <c r="F16" i="12"/>
  <c r="E13" i="12"/>
  <c r="E14" i="12"/>
  <c r="E16" i="12"/>
  <c r="D13" i="12"/>
  <c r="D14" i="12"/>
  <c r="D16" i="12"/>
  <c r="J8" i="12"/>
  <c r="J9" i="12"/>
  <c r="J10" i="12"/>
  <c r="J11" i="12"/>
  <c r="J12" i="12"/>
  <c r="I8" i="12"/>
  <c r="I9" i="12"/>
  <c r="I10" i="12"/>
  <c r="I11" i="12"/>
  <c r="I12" i="12"/>
  <c r="L7" i="12" l="1"/>
  <c r="M7" i="12" s="1"/>
  <c r="L14" i="12"/>
  <c r="L13" i="12"/>
  <c r="L12" i="12"/>
  <c r="L11" i="12"/>
  <c r="L16" i="12"/>
  <c r="L15" i="12"/>
  <c r="K15" i="12"/>
  <c r="K14" i="12"/>
  <c r="N14" i="12" s="1"/>
  <c r="K13" i="12"/>
  <c r="K16" i="12"/>
  <c r="H8" i="12"/>
  <c r="K8" i="12" s="1"/>
  <c r="H9" i="12"/>
  <c r="K9" i="12" s="1"/>
  <c r="H10" i="12"/>
  <c r="K10" i="12" s="1"/>
  <c r="H11" i="12"/>
  <c r="K11" i="12" s="1"/>
  <c r="H12" i="12"/>
  <c r="K12" i="12" s="1"/>
  <c r="G8" i="12"/>
  <c r="G9" i="12"/>
  <c r="G10" i="12"/>
  <c r="G11" i="12"/>
  <c r="G12" i="12"/>
  <c r="F8" i="12"/>
  <c r="F9" i="12"/>
  <c r="F10" i="12"/>
  <c r="F11" i="12"/>
  <c r="F12" i="12"/>
  <c r="E9" i="12"/>
  <c r="E10" i="12"/>
  <c r="E11" i="12"/>
  <c r="E12" i="12"/>
  <c r="D8" i="12"/>
  <c r="D9" i="12"/>
  <c r="D10" i="12"/>
  <c r="D11" i="12"/>
  <c r="D12" i="12"/>
  <c r="J22" i="9"/>
  <c r="L6" i="12" s="1"/>
  <c r="M6" i="12" s="1"/>
  <c r="J23" i="9"/>
  <c r="J24" i="9"/>
  <c r="J25" i="9"/>
  <c r="F9" i="9"/>
  <c r="K63" i="11"/>
  <c r="G10" i="8"/>
  <c r="L8" i="12"/>
  <c r="I16" i="8"/>
  <c r="G16" i="8"/>
  <c r="G13" i="8"/>
  <c r="M13" i="12" l="1"/>
  <c r="M12" i="12"/>
  <c r="M11" i="12"/>
  <c r="M16" i="12"/>
  <c r="M15" i="12"/>
  <c r="N13" i="12"/>
  <c r="N16" i="12"/>
  <c r="N15" i="12"/>
  <c r="M14" i="12"/>
  <c r="M8" i="12"/>
  <c r="N12" i="12"/>
  <c r="N11" i="12"/>
  <c r="N10" i="12"/>
  <c r="N9" i="12"/>
  <c r="N8" i="12"/>
  <c r="K66" i="11"/>
  <c r="K65" i="11"/>
  <c r="K64" i="11"/>
  <c r="K62" i="10"/>
  <c r="L9" i="12" s="1"/>
  <c r="M9" i="12" s="1"/>
  <c r="K63" i="10"/>
  <c r="L10" i="12" s="1"/>
  <c r="M10" i="1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A84AAE8-5E94-4F8D-9335-3DF02B81519F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6DA2BBE7-5FFF-42D0-96E9-6425BF6E9C6A}" name="WorksheetConnection_Gestion de stock.xlsm!lesCategories" type="102" refreshedVersion="6" minRefreshableVersion="5">
    <extLst>
      <ext xmlns:x15="http://schemas.microsoft.com/office/spreadsheetml/2010/11/main" uri="{DE250136-89BD-433C-8126-D09CA5730AF9}">
        <x15:connection id="lesCategories">
          <x15:rangePr sourceName="_xlcn.WorksheetConnection_Gestiondestock.xlsmlesCategories1"/>
        </x15:connection>
      </ext>
    </extLst>
  </connection>
  <connection id="3" xr16:uid="{9F90B5BD-2738-4FE8-A63F-417D428A9782}" name="WorksheetConnection_Gestion de stock.xlsm!lesMois" type="102" refreshedVersion="6" minRefreshableVersion="5">
    <extLst>
      <ext xmlns:x15="http://schemas.microsoft.com/office/spreadsheetml/2010/11/main" uri="{DE250136-89BD-433C-8126-D09CA5730AF9}">
        <x15:connection id="lesMois">
          <x15:rangePr sourceName="_xlcn.WorksheetConnection_Gestiondestock.xlsmlesMois1"/>
        </x15:connection>
      </ext>
    </extLst>
  </connection>
  <connection id="4" xr16:uid="{03528C0E-25B5-4CEF-AB08-B74E3CF84EB3}" name="WorksheetConnection_Gestion de stock.xlsm!lesReferences" type="102" refreshedVersion="6" minRefreshableVersion="5">
    <extLst>
      <ext xmlns:x15="http://schemas.microsoft.com/office/spreadsheetml/2010/11/main" uri="{DE250136-89BD-433C-8126-D09CA5730AF9}">
        <x15:connection id="lesReferences">
          <x15:rangePr sourceName="_xlcn.WorksheetConnection_Gestiondestock.xlsmlesReferences1"/>
        </x15:connection>
      </ext>
    </extLst>
  </connection>
  <connection id="5" xr16:uid="{D4278434-B34D-4E4F-B26B-AEC93FAAAA41}" name="WorksheetConnection_Gestion de stock.xlsm!listeAchats" type="102" refreshedVersion="6" minRefreshableVersion="5">
    <extLst>
      <ext xmlns:x15="http://schemas.microsoft.com/office/spreadsheetml/2010/11/main" uri="{DE250136-89BD-433C-8126-D09CA5730AF9}">
        <x15:connection id="listeAchats">
          <x15:rangePr sourceName="_xlcn.WorksheetConnection_Gestiondestock.xlsmlisteAchats1"/>
        </x15:connection>
      </ext>
    </extLst>
  </connection>
  <connection id="6" xr16:uid="{8A4DF0C2-07BF-439C-9DCF-BCAACFA7D594}" name="WorksheetConnection_Gestion de stock.xlsm!listeVentes" type="102" refreshedVersion="6" minRefreshableVersion="5">
    <extLst>
      <ext xmlns:x15="http://schemas.microsoft.com/office/spreadsheetml/2010/11/main" uri="{DE250136-89BD-433C-8126-D09CA5730AF9}">
        <x15:connection id="listeVentes">
          <x15:rangePr sourceName="_xlcn.WorksheetConnection_Gestiondestock.xlsmlisteVentes1"/>
        </x15:connection>
      </ext>
    </extLst>
  </connection>
</connections>
</file>

<file path=xl/sharedStrings.xml><?xml version="1.0" encoding="utf-8"?>
<sst xmlns="http://schemas.openxmlformats.org/spreadsheetml/2006/main" count="720" uniqueCount="91">
  <si>
    <t>Désignation</t>
  </si>
  <si>
    <t>Quantité</t>
  </si>
  <si>
    <t>Date</t>
  </si>
  <si>
    <t>Seuil d'alerte</t>
  </si>
  <si>
    <t>Valeur</t>
  </si>
  <si>
    <t>Prix de vente</t>
  </si>
  <si>
    <t>Total</t>
  </si>
  <si>
    <t>Numéro</t>
  </si>
  <si>
    <t>Unité</t>
  </si>
  <si>
    <t>Prix unitaire</t>
  </si>
  <si>
    <t>Stock initial</t>
  </si>
  <si>
    <t>Stock final</t>
  </si>
  <si>
    <t>Entrées</t>
  </si>
  <si>
    <t>Sorties</t>
  </si>
  <si>
    <t>Référence</t>
  </si>
  <si>
    <t>Catégorie</t>
  </si>
  <si>
    <t>Statue</t>
  </si>
  <si>
    <r>
      <t xml:space="preserve">Nouvelle </t>
    </r>
    <r>
      <rPr>
        <b/>
        <sz val="14"/>
        <color rgb="FF51459E"/>
        <rFont val="Gilroy-Bold"/>
      </rPr>
      <t>opération</t>
    </r>
  </si>
  <si>
    <t>Oreo</t>
  </si>
  <si>
    <t xml:space="preserve">Biscuits </t>
  </si>
  <si>
    <t xml:space="preserve">1 unité </t>
  </si>
  <si>
    <t>Pack de 10 unités</t>
  </si>
  <si>
    <t>Pack de 20 unités</t>
  </si>
  <si>
    <t xml:space="preserve"> Total</t>
  </si>
  <si>
    <t xml:space="preserve">Unité </t>
  </si>
  <si>
    <t xml:space="preserve"> Seuil d'alerte</t>
  </si>
  <si>
    <t xml:space="preserve"> Stock initial</t>
  </si>
  <si>
    <t xml:space="preserve"> Prix unitaire</t>
  </si>
  <si>
    <t>Veuillez saisir les détaille de l'opération de vente ou d'achat</t>
  </si>
  <si>
    <t xml:space="preserve">Catégorie </t>
  </si>
  <si>
    <t xml:space="preserve">Désignation </t>
  </si>
  <si>
    <t xml:space="preserve">Référence  </t>
  </si>
  <si>
    <t>1 unité</t>
  </si>
  <si>
    <t xml:space="preserve">Quantité </t>
  </si>
  <si>
    <r>
      <rPr>
        <b/>
        <sz val="13"/>
        <color theme="1" tint="4.9989318521683403E-2"/>
        <rFont val="Gilroy-Bold"/>
      </rPr>
      <t>Détails d'</t>
    </r>
    <r>
      <rPr>
        <b/>
        <sz val="13"/>
        <color rgb="FF51459E"/>
        <rFont val="Gilroy-Bold"/>
      </rPr>
      <t>inventaire</t>
    </r>
  </si>
  <si>
    <t>C1</t>
  </si>
  <si>
    <t>C2</t>
  </si>
  <si>
    <t>CUMP</t>
  </si>
  <si>
    <t>E1</t>
  </si>
  <si>
    <t>E2</t>
  </si>
  <si>
    <t>E3</t>
  </si>
  <si>
    <t>E4</t>
  </si>
  <si>
    <r>
      <t xml:space="preserve">Nouvelle </t>
    </r>
    <r>
      <rPr>
        <b/>
        <sz val="14"/>
        <color rgb="FF51459E"/>
        <rFont val="Gilroy-Bold"/>
      </rPr>
      <t>marchandise</t>
    </r>
    <r>
      <rPr>
        <b/>
        <sz val="14"/>
        <color theme="1"/>
        <rFont val="Gilroy-Bold"/>
      </rPr>
      <t xml:space="preserve"> </t>
    </r>
  </si>
  <si>
    <r>
      <t xml:space="preserve">Liste des </t>
    </r>
    <r>
      <rPr>
        <b/>
        <sz val="14"/>
        <color rgb="FF51459E"/>
        <rFont val="Gilroy-Bold"/>
      </rPr>
      <t>marchandises</t>
    </r>
    <r>
      <rPr>
        <b/>
        <sz val="14"/>
        <color theme="1"/>
        <rFont val="Gilroy-Bold"/>
      </rPr>
      <t xml:space="preserve"> </t>
    </r>
    <r>
      <rPr>
        <b/>
        <sz val="14"/>
        <color rgb="FF51459E"/>
        <rFont val="Gilroy-Bold"/>
      </rPr>
      <t>:</t>
    </r>
  </si>
  <si>
    <r>
      <t xml:space="preserve">Liste des </t>
    </r>
    <r>
      <rPr>
        <b/>
        <sz val="14"/>
        <color rgb="FF51459E"/>
        <rFont val="Gilroy-Bold"/>
      </rPr>
      <t>entrées</t>
    </r>
    <r>
      <rPr>
        <b/>
        <sz val="14"/>
        <color theme="1"/>
        <rFont val="Gilroy-Bold"/>
      </rPr>
      <t xml:space="preserve"> </t>
    </r>
    <r>
      <rPr>
        <b/>
        <sz val="14"/>
        <color rgb="FF51459E"/>
        <rFont val="Gilroy-Bold"/>
      </rPr>
      <t>:</t>
    </r>
  </si>
  <si>
    <r>
      <t xml:space="preserve">Liste des </t>
    </r>
    <r>
      <rPr>
        <b/>
        <sz val="14"/>
        <color rgb="FF51459E"/>
        <rFont val="Gilroy-Bold"/>
      </rPr>
      <t>sorties</t>
    </r>
    <r>
      <rPr>
        <b/>
        <sz val="14"/>
        <color theme="1"/>
        <rFont val="Gilroy-Bold"/>
      </rPr>
      <t xml:space="preserve"> </t>
    </r>
    <r>
      <rPr>
        <b/>
        <sz val="14"/>
        <color rgb="FF51459E"/>
        <rFont val="Gilroy-Bold"/>
      </rPr>
      <t>:</t>
    </r>
  </si>
  <si>
    <t>Détails de toutes les transactions de sortie</t>
  </si>
  <si>
    <t>Détails de toutes les transactions d'entrée</t>
  </si>
  <si>
    <t>Veuillez saisir les informations de chaque marchandise</t>
  </si>
  <si>
    <t xml:space="preserve">PLAYSTATION PS5 </t>
  </si>
  <si>
    <t>NINTENDO SWITCH</t>
  </si>
  <si>
    <t>GOOGLE PIXEL 5</t>
  </si>
  <si>
    <t>S1</t>
  </si>
  <si>
    <t>S2</t>
  </si>
  <si>
    <t>B1</t>
  </si>
  <si>
    <t>B2</t>
  </si>
  <si>
    <t>B3</t>
  </si>
  <si>
    <t>Coût d'achat</t>
  </si>
  <si>
    <t>SmartPhone</t>
  </si>
  <si>
    <t>Consoles</t>
  </si>
  <si>
    <t>Electro</t>
  </si>
  <si>
    <t>Cuisinière CANDY</t>
  </si>
  <si>
    <t>Cuisinière SIERA</t>
  </si>
  <si>
    <t>Réfrigérateur SIERA</t>
  </si>
  <si>
    <t>Réfrigérateur WHIRLPOOL</t>
  </si>
  <si>
    <t xml:space="preserve">Réfrigérateur WHIRLPOOL </t>
  </si>
  <si>
    <t>IPHONE 13 PRO</t>
  </si>
  <si>
    <t>Somme de Stock final</t>
  </si>
  <si>
    <t>Somme de Valeur</t>
  </si>
  <si>
    <t>Somme de Quantité</t>
  </si>
  <si>
    <t>Somme de Total</t>
  </si>
  <si>
    <t>Catégories</t>
  </si>
  <si>
    <t>Références</t>
  </si>
  <si>
    <t>Janv</t>
  </si>
  <si>
    <t>Fevr</t>
  </si>
  <si>
    <t>Mars</t>
  </si>
  <si>
    <t>Avr</t>
  </si>
  <si>
    <t>Mai</t>
  </si>
  <si>
    <t>Mois</t>
  </si>
  <si>
    <t>Étiquettes de lignes</t>
  </si>
  <si>
    <t>Total général</t>
  </si>
  <si>
    <t>Biscuits</t>
  </si>
  <si>
    <t>janv</t>
  </si>
  <si>
    <t>févr</t>
  </si>
  <si>
    <t>mars</t>
  </si>
  <si>
    <t>avr</t>
  </si>
  <si>
    <t>mai</t>
  </si>
  <si>
    <t>max</t>
  </si>
  <si>
    <t>Somme de Total2</t>
  </si>
  <si>
    <t>(Plusieurs éléments)</t>
  </si>
  <si>
    <t>Dernière mise à jour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</si>
</sst>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-40C]_-;\-* #,##0.00\ [$€-40C]_-;_-* &quot;-&quot;??\ [$€-40C]_-;_-@_-"/>
    <numFmt numFmtId="165" formatCode="_-* #,##0_-;\-* #,##0_-;_-* &quot;-&quot;??_-;_-@_-"/>
  </numFmts>
  <fonts count="2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51459E"/>
      <name val="Calibri"/>
      <family val="2"/>
      <scheme val="minor"/>
    </font>
    <font>
      <sz val="11"/>
      <color rgb="FFFAFAFA"/>
      <name val="Calibri"/>
      <family val="2"/>
      <scheme val="minor"/>
    </font>
    <font>
      <b/>
      <sz val="11"/>
      <color theme="1"/>
      <name val="Open Sans"/>
      <family val="2"/>
    </font>
    <font>
      <b/>
      <sz val="14"/>
      <color theme="1"/>
      <name val="Gilroy-Bold"/>
    </font>
    <font>
      <b/>
      <sz val="14"/>
      <color rgb="FF51459E"/>
      <name val="Gilroy-Bold"/>
    </font>
    <font>
      <b/>
      <sz val="10"/>
      <color theme="1"/>
      <name val="Gilroy-SemiBold"/>
    </font>
    <font>
      <sz val="10"/>
      <color theme="1" tint="4.9989318521683403E-2"/>
      <name val="Gilroy-SemiBold"/>
    </font>
    <font>
      <sz val="8"/>
      <color theme="1"/>
      <name val="Gilroy-Medium"/>
    </font>
    <font>
      <b/>
      <sz val="10"/>
      <color theme="1" tint="4.9989318521683403E-2"/>
      <name val="Gilroy-SemiBold"/>
    </font>
    <font>
      <sz val="10"/>
      <color rgb="FF51459E"/>
      <name val="Gilroy-SemiBold"/>
    </font>
    <font>
      <sz val="11"/>
      <color rgb="FF51459E"/>
      <name val="Product Sans"/>
      <family val="2"/>
    </font>
    <font>
      <sz val="8"/>
      <name val="Calibri"/>
      <family val="2"/>
      <scheme val="minor"/>
    </font>
    <font>
      <b/>
      <sz val="12"/>
      <color theme="1"/>
      <name val="Gilroy-Bold"/>
    </font>
    <font>
      <b/>
      <sz val="13"/>
      <color theme="1"/>
      <name val="Gilroy-Bold"/>
    </font>
    <font>
      <b/>
      <sz val="13"/>
      <color rgb="FF51459E"/>
      <name val="Gilroy-Bold"/>
    </font>
    <font>
      <b/>
      <sz val="13"/>
      <color theme="1" tint="4.9989318521683403E-2"/>
      <name val="Gilroy-Bold"/>
    </font>
    <font>
      <sz val="9"/>
      <color theme="1" tint="4.9989318521683403E-2"/>
      <name val="Gilroy-Medium"/>
    </font>
    <font>
      <sz val="9"/>
      <color theme="1"/>
      <name val="Gilroy-SemiBold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51459E"/>
        <bgColor indexed="64"/>
      </patternFill>
    </fill>
    <fill>
      <patternFill patternType="solid">
        <fgColor rgb="FFF0F0F0"/>
        <bgColor indexed="64"/>
      </patternFill>
    </fill>
  </fills>
  <borders count="7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2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3" fillId="4" borderId="0" xfId="0" applyFont="1" applyFill="1"/>
    <xf numFmtId="0" fontId="0" fillId="4" borderId="0" xfId="0" applyFill="1"/>
    <xf numFmtId="0" fontId="4" fillId="2" borderId="0" xfId="0" applyFont="1" applyFill="1"/>
    <xf numFmtId="0" fontId="3" fillId="3" borderId="0" xfId="0" applyFont="1" applyFill="1"/>
    <xf numFmtId="0" fontId="5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left"/>
    </xf>
    <xf numFmtId="0" fontId="9" fillId="2" borderId="0" xfId="0" applyFont="1" applyFill="1" applyAlignment="1">
      <alignment horizontal="left" vertical="center"/>
    </xf>
    <xf numFmtId="0" fontId="10" fillId="3" borderId="0" xfId="0" applyFont="1" applyFill="1"/>
    <xf numFmtId="0" fontId="12" fillId="3" borderId="0" xfId="0" applyFont="1" applyFill="1" applyAlignment="1">
      <alignment vertical="center"/>
    </xf>
    <xf numFmtId="164" fontId="12" fillId="3" borderId="0" xfId="0" applyNumberFormat="1" applyFont="1" applyFill="1" applyAlignment="1">
      <alignment vertical="center"/>
    </xf>
    <xf numFmtId="0" fontId="12" fillId="3" borderId="0" xfId="0" applyFont="1" applyFill="1" applyAlignment="1">
      <alignment horizontal="center" vertical="center"/>
    </xf>
    <xf numFmtId="14" fontId="12" fillId="3" borderId="0" xfId="0" applyNumberFormat="1" applyFont="1" applyFill="1" applyAlignment="1">
      <alignment horizontal="center" vertical="center"/>
    </xf>
    <xf numFmtId="0" fontId="9" fillId="2" borderId="2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9" fillId="2" borderId="4" xfId="0" applyFont="1" applyFill="1" applyBorder="1" applyAlignment="1">
      <alignment horizontal="left" vertical="center"/>
    </xf>
    <xf numFmtId="0" fontId="12" fillId="3" borderId="1" xfId="0" applyFont="1" applyFill="1" applyBorder="1" applyAlignment="1">
      <alignment vertical="center"/>
    </xf>
    <xf numFmtId="164" fontId="12" fillId="3" borderId="1" xfId="0" applyNumberFormat="1" applyFont="1" applyFill="1" applyBorder="1" applyAlignme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15" fillId="3" borderId="0" xfId="0" applyFont="1" applyFill="1"/>
    <xf numFmtId="0" fontId="19" fillId="3" borderId="0" xfId="0" applyFont="1" applyFill="1"/>
    <xf numFmtId="0" fontId="12" fillId="3" borderId="0" xfId="0" applyFont="1" applyFill="1" applyAlignment="1">
      <alignment horizontal="left" vertical="center" indent="1"/>
    </xf>
    <xf numFmtId="0" fontId="11" fillId="3" borderId="0" xfId="0" applyFont="1" applyFill="1" applyAlignment="1">
      <alignment horizontal="right" vertical="center" indent="1"/>
    </xf>
    <xf numFmtId="0" fontId="8" fillId="3" borderId="0" xfId="0" applyFont="1" applyFill="1" applyAlignment="1">
      <alignment horizontal="right" vertical="center" indent="1"/>
    </xf>
    <xf numFmtId="0" fontId="9" fillId="3" borderId="0" xfId="0" applyFont="1" applyFill="1" applyAlignment="1">
      <alignment horizontal="right" vertical="center" indent="1"/>
    </xf>
    <xf numFmtId="0" fontId="13" fillId="2" borderId="0" xfId="0" applyFont="1" applyFill="1" applyAlignment="1">
      <alignment horizontal="left" vertical="center"/>
    </xf>
    <xf numFmtId="0" fontId="13" fillId="2" borderId="0" xfId="0" applyFont="1" applyFill="1" applyAlignment="1">
      <alignment horizontal="center" vertical="center"/>
    </xf>
    <xf numFmtId="164" fontId="13" fillId="2" borderId="0" xfId="0" applyNumberFormat="1" applyFont="1" applyFill="1" applyAlignment="1">
      <alignment horizontal="center" vertical="center"/>
    </xf>
    <xf numFmtId="14" fontId="13" fillId="2" borderId="0" xfId="0" applyNumberFormat="1" applyFont="1" applyFill="1" applyAlignment="1">
      <alignment horizontal="left" vertical="center"/>
    </xf>
    <xf numFmtId="0" fontId="20" fillId="3" borderId="0" xfId="0" applyFont="1" applyFill="1" applyAlignment="1">
      <alignment horizontal="left" vertical="center"/>
    </xf>
    <xf numFmtId="164" fontId="13" fillId="2" borderId="0" xfId="0" applyNumberFormat="1" applyFont="1" applyFill="1" applyAlignment="1">
      <alignment horizontal="left" vertical="center"/>
    </xf>
    <xf numFmtId="14" fontId="0" fillId="3" borderId="0" xfId="0" applyNumberFormat="1" applyFill="1"/>
    <xf numFmtId="0" fontId="12" fillId="3" borderId="0" xfId="0" applyFont="1" applyFill="1" applyAlignment="1">
      <alignment horizontal="left" vertical="center"/>
    </xf>
    <xf numFmtId="164" fontId="12" fillId="3" borderId="0" xfId="0" applyNumberFormat="1" applyFont="1" applyFill="1" applyAlignment="1">
      <alignment horizontal="center" vertical="center"/>
    </xf>
    <xf numFmtId="0" fontId="12" fillId="3" borderId="0" xfId="0" applyFont="1" applyFill="1" applyAlignment="1">
      <alignment horizontal="right" vertical="center"/>
    </xf>
    <xf numFmtId="0" fontId="3" fillId="4" borderId="0" xfId="0" applyFont="1" applyFill="1" applyAlignment="1">
      <alignment horizontal="right"/>
    </xf>
    <xf numFmtId="0" fontId="0" fillId="3" borderId="0" xfId="0" applyFill="1" applyAlignment="1">
      <alignment horizontal="right"/>
    </xf>
    <xf numFmtId="0" fontId="0" fillId="2" borderId="0" xfId="0" applyFill="1" applyAlignment="1">
      <alignment horizontal="right"/>
    </xf>
    <xf numFmtId="164" fontId="12" fillId="3" borderId="0" xfId="0" applyNumberFormat="1" applyFont="1" applyFill="1" applyAlignment="1">
      <alignment horizontal="left" vertical="center"/>
    </xf>
    <xf numFmtId="0" fontId="13" fillId="2" borderId="5" xfId="0" applyFont="1" applyFill="1" applyBorder="1" applyAlignment="1">
      <alignment vertical="center"/>
    </xf>
    <xf numFmtId="164" fontId="13" fillId="2" borderId="5" xfId="0" applyNumberFormat="1" applyFont="1" applyFill="1" applyBorder="1" applyAlignment="1">
      <alignment vertical="center"/>
    </xf>
    <xf numFmtId="164" fontId="13" fillId="2" borderId="5" xfId="1" applyNumberFormat="1" applyFont="1" applyFill="1" applyBorder="1" applyAlignment="1">
      <alignment vertical="center"/>
    </xf>
    <xf numFmtId="164" fontId="0" fillId="2" borderId="0" xfId="0" applyNumberFormat="1" applyFill="1"/>
    <xf numFmtId="0" fontId="12" fillId="3" borderId="6" xfId="0" applyFont="1" applyFill="1" applyBorder="1" applyAlignment="1">
      <alignment horizontal="left" vertical="center" indent="1"/>
    </xf>
    <xf numFmtId="0" fontId="0" fillId="5" borderId="0" xfId="0" applyFill="1"/>
    <xf numFmtId="164" fontId="0" fillId="0" borderId="0" xfId="0" applyNumberFormat="1"/>
    <xf numFmtId="4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0" fontId="10" fillId="3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16" fillId="3" borderId="0" xfId="0" applyFont="1" applyFill="1" applyAlignment="1">
      <alignment horizontal="left"/>
    </xf>
    <xf numFmtId="0" fontId="19" fillId="3" borderId="0" xfId="0" applyFont="1" applyFill="1" applyAlignment="1">
      <alignment horizontal="left"/>
    </xf>
    <xf numFmtId="0" fontId="16" fillId="3" borderId="0" xfId="0" applyFont="1" applyFill="1" applyAlignment="1">
      <alignment horizontal="left" vertical="center"/>
    </xf>
    <xf numFmtId="0" fontId="0" fillId="0" borderId="0" xfId="0" applyNumberFormat="1"/>
    <xf numFmtId="44" fontId="0" fillId="0" borderId="0" xfId="0" applyNumberFormat="1"/>
    <xf numFmtId="0" fontId="21" fillId="5" borderId="0" xfId="0" applyFont="1" applyFill="1" applyAlignment="1">
      <alignment horizontal="right" vertical="center"/>
    </xf>
    <xf numFmtId="14" fontId="0" fillId="5" borderId="0" xfId="0" applyNumberFormat="1" applyFill="1" applyAlignment="1">
      <alignment horizontal="left" vertical="center"/>
    </xf>
  </cellXfs>
  <cellStyles count="2">
    <cellStyle name="Normal" xfId="0" builtinId="0"/>
    <cellStyle name="Pourcentage" xfId="1" builtinId="5"/>
  </cellStyles>
  <dxfs count="113"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64" formatCode="_-* #,##0.00\ [$€-40C]_-;\-* #,##0.00\ [$€-40C]_-;_-* &quot;-&quot;??\ [$€-40C]_-;_-@_-"/>
    </dxf>
    <dxf>
      <numFmt numFmtId="165" formatCode="_-* #,##0_-;\-* #,##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64" formatCode="_-* #,##0.00\ [$€-40C]_-;\-* #,##0.00\ [$€-40C]_-;_-* &quot;-&quot;??\ [$€-40C]_-;_-@_-"/>
    </dxf>
    <dxf>
      <numFmt numFmtId="165" formatCode="_-* #,##0_-;\-* #,##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64" formatCode="_-* #,##0.00\ [$€-40C]_-;\-* #,##0.00\ [$€-40C]_-;_-* &quot;-&quot;??\ [$€-40C]_-;_-@_-"/>
    </dxf>
    <dxf>
      <numFmt numFmtId="165" formatCode="_-* #,##0_-;\-* #,##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64" formatCode="_-* #,##0.00\ [$€-40C]_-;\-* #,##0.00\ [$€-40C]_-;_-* &quot;-&quot;??\ [$€-40C]_-;_-@_-"/>
    </dxf>
    <dxf>
      <numFmt numFmtId="165" formatCode="_-* #,##0_-;\-* #,##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64" formatCode="_-* #,##0.00\ [$€-40C]_-;\-* #,##0.00\ [$€-40C]_-;_-* &quot;-&quot;??\ [$€-40C]_-;_-@_-"/>
    </dxf>
    <dxf>
      <numFmt numFmtId="165" formatCode="_-* #,##0_-;\-* #,##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font>
        <color rgb="FFFF0000"/>
      </font>
    </dxf>
    <dxf>
      <font>
        <color rgb="FF01B300"/>
      </font>
    </dxf>
    <dxf>
      <font>
        <color rgb="FFFF7F00"/>
      </font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34" formatCode="_-* #,##0.00\ &quot;€&quot;_-;\-* #,##0.00\ &quot;€&quot;_-;_-* &quot;-&quot;??\ &quot;€&quot;_-;_-@_-"/>
    </dxf>
    <dxf>
      <font>
        <strike val="0"/>
        <outline val="0"/>
        <shadow val="0"/>
        <u val="none"/>
        <vertAlign val="baseline"/>
        <sz val="10"/>
        <color rgb="FF51459E"/>
        <name val="Gilroy-SemiBold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1"/>
        <color rgb="FF51459E"/>
        <name val="Calibri"/>
        <family val="2"/>
        <scheme val="minor"/>
      </font>
      <fill>
        <patternFill patternType="solid">
          <fgColor indexed="64"/>
          <bgColor rgb="FFFAFAFA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51459E"/>
        <name val="Calibri"/>
        <family val="2"/>
        <scheme val="minor"/>
      </font>
      <fill>
        <patternFill patternType="solid">
          <fgColor indexed="64"/>
          <bgColor rgb="FFFAFAFA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51459E"/>
        <name val="Calibri"/>
        <family val="2"/>
        <scheme val="minor"/>
      </font>
      <fill>
        <patternFill patternType="solid">
          <fgColor indexed="64"/>
          <bgColor rgb="FFFAFAFA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Gilroy-SemiBold"/>
        <scheme val="none"/>
      </font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Gilroy-SemiBold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Gilroy-SemiBold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51459E"/>
        <name val="Calibri"/>
        <family val="2"/>
        <scheme val="minor"/>
      </font>
      <fill>
        <patternFill patternType="solid">
          <fgColor indexed="64"/>
          <bgColor rgb="FFFAFAFA"/>
        </patternFill>
      </fill>
      <alignment horizontal="left" vertical="center" textRotation="0" wrapText="0" indent="0" justifyLastLine="0" shrinkToFit="0" readingOrder="0"/>
    </dxf>
    <dxf>
      <numFmt numFmtId="164" formatCode="_-* #,##0.00\ [$€-40C]_-;\-* #,##0.00\ [$€-40C]_-;_-* &quot;-&quot;??\ [$€-40C]_-;_-@_-"/>
    </dxf>
    <dxf>
      <numFmt numFmtId="164" formatCode="_-* #,##0.00\ [$€-40C]_-;\-* #,##0.00\ [$€-40C]_-;_-* &quot;-&quot;??\ [$€-40C]_-;_-@_-"/>
    </dxf>
    <dxf>
      <numFmt numFmtId="165" formatCode="_-* #,##0_-;\-* #,##0_-;_-* &quot;-&quot;??_-;_-@_-"/>
    </dxf>
    <dxf>
      <numFmt numFmtId="164" formatCode="_-* #,##0.00\ [$€-40C]_-;\-* #,##0.00\ [$€-40C]_-;_-* &quot;-&quot;??\ [$€-40C]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font>
        <b/>
        <i val="0"/>
        <sz val="11"/>
        <color theme="1"/>
        <name val="Product Sans"/>
        <family val="2"/>
        <scheme val="none"/>
      </font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z val="11"/>
        <color theme="1"/>
        <name val="Product Sans"/>
        <family val="2"/>
        <scheme val="none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style 1" pivot="0" table="0" count="10" xr9:uid="{68B2A081-750C-4C21-A5DE-8D839AE1BF58}">
      <tableStyleElement type="wholeTable" dxfId="112"/>
      <tableStyleElement type="headerRow" dxfId="111"/>
    </tableStyle>
    <tableStyle name="Style2" pivot="0" table="0" count="10" xr9:uid="{7F652A90-6AE8-464D-AB54-7DFB6859E687}">
      <tableStyleElement type="wholeTable" dxfId="110"/>
      <tableStyleElement type="headerRow" dxfId="109"/>
    </tableStyle>
  </tableStyles>
  <colors>
    <mruColors>
      <color rgb="FFA6A6A6"/>
      <color rgb="FFFFF6E0"/>
      <color rgb="FFF2E9FF"/>
      <color rgb="FFF0F0F0"/>
      <color rgb="FFFAFAFA"/>
      <color rgb="FF999999"/>
      <color rgb="FFF5F5F5"/>
      <color rgb="FFFFFCF7"/>
      <color rgb="FF51459E"/>
      <color rgb="FFE2E2E2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10"/>
            <color theme="0"/>
            <name val="Gilroy-SemiBold"/>
            <scheme val="none"/>
          </font>
          <fill>
            <patternFill patternType="solid">
              <fgColor auto="1"/>
              <bgColor theme="0" tint="-0.3499862666707357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0"/>
            <color theme="0"/>
            <name val="Gilroy-SemiBold"/>
            <scheme val="none"/>
          </font>
          <fill>
            <patternFill patternType="solid">
              <fgColor auto="1"/>
              <bgColor theme="0" tint="-0.3499862666707357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10"/>
            <color theme="4" tint="-0.499984740745262"/>
            <name val="Gilroy-SemiBold"/>
            <scheme val="none"/>
          </font>
          <fill>
            <patternFill patternType="solid">
              <fgColor theme="4" tint="0.59999389629810485"/>
              <bgColor rgb="FFF5F5F5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sz val="10"/>
            <color rgb="FF999999"/>
            <name val="Gilroy-SemiBold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10"/>
            <color theme="4" tint="-0.499984740745262"/>
            <name val="Gilroy-SemiBold"/>
            <scheme val="none"/>
          </font>
          <fill>
            <patternFill patternType="solid">
              <fgColor theme="4"/>
              <bgColor rgb="FFFAFAFA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sz val="10"/>
            <color rgb="FF999999"/>
            <name val="Gilroy-SemiBold"/>
            <scheme val="none"/>
          </font>
          <fill>
            <patternFill patternType="solid">
              <fgColor rgb="FFFFFFFF"/>
              <bgColor rgb="FFFFFFFF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tyle 1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tyle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pivotCacheDefinition" Target="pivotCache/pivotCacheDefinition5.xml"/><Relationship Id="rId18" Type="http://schemas.openxmlformats.org/officeDocument/2006/relationships/pivotCacheDefinition" Target="pivotCache/pivotCacheDefinition10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pivotCacheDefinition" Target="pivotCache/pivotCacheDefinition9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8.xml"/><Relationship Id="rId20" Type="http://schemas.openxmlformats.org/officeDocument/2006/relationships/pivotCacheDefinition" Target="pivotCache/pivotCacheDefinition12.xml"/><Relationship Id="rId29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24" Type="http://schemas.microsoft.com/office/2007/relationships/slicerCache" Target="slicerCaches/slicerCache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7.xml"/><Relationship Id="rId23" Type="http://schemas.microsoft.com/office/2007/relationships/slicerCache" Target="slicerCaches/slicerCache2.xml"/><Relationship Id="rId28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19" Type="http://schemas.openxmlformats.org/officeDocument/2006/relationships/pivotCacheDefinition" Target="pivotCache/pivotCacheDefinition11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6.xml"/><Relationship Id="rId22" Type="http://schemas.microsoft.com/office/2007/relationships/slicerCache" Target="slicerCaches/slicerCache1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[Dashboard_Stock.xlsm]Traitement!StockTotalCategorie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5335692207365305"/>
          <c:y val="0.14011473116758608"/>
          <c:w val="0.30170281633388824"/>
          <c:h val="0.57238970877143347"/>
        </c:manualLayout>
      </c:layout>
      <c:pieChart>
        <c:varyColors val="1"/>
        <c:ser>
          <c:idx val="0"/>
          <c:order val="0"/>
          <c:tx>
            <c:strRef>
              <c:f>Traitement!$B$10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31B-46C8-9623-505F7BABB04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31B-46C8-9623-505F7BABB04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31B-46C8-9623-505F7BABB04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31B-46C8-9623-505F7BABB04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Traitement!$A$11:$A$15</c:f>
              <c:strCache>
                <c:ptCount val="4"/>
                <c:pt idx="0">
                  <c:v>Biscuits 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Traitement!$B$11:$B$15</c:f>
              <c:numCache>
                <c:formatCode>General</c:formatCode>
                <c:ptCount val="4"/>
                <c:pt idx="0">
                  <c:v>254</c:v>
                </c:pt>
                <c:pt idx="1">
                  <c:v>15</c:v>
                </c:pt>
                <c:pt idx="2">
                  <c:v>70</c:v>
                </c:pt>
                <c:pt idx="3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31B-46C8-9623-505F7BABB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[Dashboard_Stock.xlsm]Traitement!StockValeurCategorie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2.3520151862397851E-2"/>
              <c:y val="-4.598495696110867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358677685950413"/>
                  <c:h val="0.20864662025378952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3.2235731893404791E-2"/>
              <c:y val="2.339211984466853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5938792045743911"/>
                  <c:h val="0.30061653417600687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5.9099441116734305E-2"/>
              <c:y val="-3.118877684149137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4762784452624024"/>
                  <c:h val="0.30061653417600687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1910516949297559"/>
              <c:y val="0.365061641948429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5984786622883952"/>
                  <c:h val="0.30061625895635152"/>
                </c:manualLayout>
              </c15:layout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Traitement!$B$17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E2A-49B8-9736-12F0D66806A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E2A-49B8-9736-12F0D66806A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E2A-49B8-9736-12F0D66806A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E2A-49B8-9736-12F0D66806AF}"/>
              </c:ext>
            </c:extLst>
          </c:dPt>
          <c:dLbls>
            <c:dLbl>
              <c:idx val="0"/>
              <c:layout>
                <c:manualLayout>
                  <c:x val="-2.3520151862397851E-2"/>
                  <c:y val="-4.5984956961108672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358677685950413"/>
                      <c:h val="0.2086466202537895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7E2A-49B8-9736-12F0D66806AF}"/>
                </c:ext>
              </c:extLst>
            </c:dLbl>
            <c:dLbl>
              <c:idx val="1"/>
              <c:layout>
                <c:manualLayout>
                  <c:x val="-3.2235731893404791E-2"/>
                  <c:y val="2.3392119844668539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938792045743911"/>
                      <c:h val="0.3006165341760068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E2A-49B8-9736-12F0D66806AF}"/>
                </c:ext>
              </c:extLst>
            </c:dLbl>
            <c:dLbl>
              <c:idx val="2"/>
              <c:layout>
                <c:manualLayout>
                  <c:x val="-5.9099441116734305E-2"/>
                  <c:y val="-3.1188776841491378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4762784452624024"/>
                      <c:h val="0.3006165341760068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7E2A-49B8-9736-12F0D66806AF}"/>
                </c:ext>
              </c:extLst>
            </c:dLbl>
            <c:dLbl>
              <c:idx val="3"/>
              <c:layout>
                <c:manualLayout>
                  <c:x val="0.21910516949297559"/>
                  <c:y val="0.36506164194842927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984786622883952"/>
                      <c:h val="0.3006162589563515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7E2A-49B8-9736-12F0D66806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Traitement!$A$18:$A$22</c:f>
              <c:strCache>
                <c:ptCount val="4"/>
                <c:pt idx="0">
                  <c:v>Biscuits 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Traitement!$B$18:$B$22</c:f>
              <c:numCache>
                <c:formatCode>_-* #\ ##0.00\ [$€-40C]_-;\-* #\ ##0.00\ [$€-40C]_-;_-* "-"??\ [$€-40C]_-;_-@_-</c:formatCode>
                <c:ptCount val="4"/>
                <c:pt idx="0">
                  <c:v>721.43523809523811</c:v>
                </c:pt>
                <c:pt idx="1">
                  <c:v>10588.6587366694</c:v>
                </c:pt>
                <c:pt idx="2">
                  <c:v>17750</c:v>
                </c:pt>
                <c:pt idx="3">
                  <c:v>25792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2A-49B8-9736-12F0D66806A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6117950555477756E-2"/>
          <c:y val="0.83063160964528537"/>
          <c:w val="0.9"/>
          <c:h val="0.1208940239306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b="1"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[Dashboard_Stock.xlsm]Traitement!EntreeTotalCategorie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0787497383887646"/>
          <c:y val="0.14222632069050581"/>
          <c:w val="0.41876959819232296"/>
          <c:h val="0.59696192428252048"/>
        </c:manualLayout>
      </c:layout>
      <c:pieChart>
        <c:varyColors val="1"/>
        <c:ser>
          <c:idx val="0"/>
          <c:order val="0"/>
          <c:tx>
            <c:strRef>
              <c:f>Traitement!$B$24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661-4810-9423-EF320A611A2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661-4810-9423-EF320A611A2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661-4810-9423-EF320A611A2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661-4810-9423-EF320A611A2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Traitement!$A$25:$A$29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Traitement!$B$25:$B$29</c:f>
              <c:numCache>
                <c:formatCode>_-* #\ ##0_-;\-* #\ ##0_-;_-* "-"??_-;_-@_-</c:formatCode>
                <c:ptCount val="4"/>
                <c:pt idx="0">
                  <c:v>562</c:v>
                </c:pt>
                <c:pt idx="1">
                  <c:v>90</c:v>
                </c:pt>
                <c:pt idx="2">
                  <c:v>189</c:v>
                </c:pt>
                <c:pt idx="3">
                  <c:v>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661-4810-9423-EF320A611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[Dashboard_Stock.xlsm]Traitement!EntreeValeurCategorie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1446832659431089"/>
              <c:y val="3.0378608598968948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987602226374905"/>
                  <c:h val="0.21830589356177321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987602226374905"/>
                  <c:h val="0.21830589356177321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2.8571428571428571E-2"/>
              <c:y val="8.157409976569168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904575320995838"/>
                  <c:h val="0.21830589356177321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6528339362985034"/>
              <c:y val="0.3265791560214958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3929949634674045"/>
                  <c:h val="0.19860258400444744"/>
                </c:manualLayout>
              </c15:layout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Traitement!$B$31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976-44A1-BB48-8F8C7B52621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976-44A1-BB48-8F8C7B52621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976-44A1-BB48-8F8C7B52621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976-44A1-BB48-8F8C7B52621D}"/>
              </c:ext>
            </c:extLst>
          </c:dPt>
          <c:dLbls>
            <c:dLbl>
              <c:idx val="0"/>
              <c:layout>
                <c:manualLayout>
                  <c:x val="-0.11446832659431089"/>
                  <c:y val="3.0378608598968948E-7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987602226374905"/>
                      <c:h val="0.218305893561773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976-44A1-BB48-8F8C7B5262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987602226374905"/>
                      <c:h val="0.218305893561773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976-44A1-BB48-8F8C7B52621D}"/>
                </c:ext>
              </c:extLst>
            </c:dLbl>
            <c:dLbl>
              <c:idx val="2"/>
              <c:layout>
                <c:manualLayout>
                  <c:x val="-2.8571428571428571E-2"/>
                  <c:y val="8.1574099765691684E-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904575320995838"/>
                      <c:h val="0.218305893561773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1976-44A1-BB48-8F8C7B52621D}"/>
                </c:ext>
              </c:extLst>
            </c:dLbl>
            <c:dLbl>
              <c:idx val="3"/>
              <c:layout>
                <c:manualLayout>
                  <c:x val="0.16528339362985034"/>
                  <c:y val="0.32657915602149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3929949634674045"/>
                      <c:h val="0.1986025840044474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1976-44A1-BB48-8F8C7B5262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Traitement!$A$32:$A$36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Traitement!$B$32:$B$36</c:f>
              <c:numCache>
                <c:formatCode>_-* #\ ##0.00\ [$€-40C]_-;\-* #\ ##0.00\ [$€-40C]_-;_-* "-"??\ [$€-40C]_-;_-@_-</c:formatCode>
                <c:ptCount val="4"/>
                <c:pt idx="0">
                  <c:v>1593.9500000000003</c:v>
                </c:pt>
                <c:pt idx="1">
                  <c:v>53925</c:v>
                </c:pt>
                <c:pt idx="2">
                  <c:v>68550</c:v>
                </c:pt>
                <c:pt idx="3">
                  <c:v>167360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76-44A1-BB48-8F8C7B526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7752961623040361"/>
          <c:y val="0.81898298494132382"/>
          <c:w val="0.71701283961126483"/>
          <c:h val="0.111571515801433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[Dashboard_Stock.xlsm]Traitement!SortieValeurCategorie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6163503723665145"/>
                  <c:h val="0.20922625232982003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554684671050492"/>
                  <c:h val="0.20922625232982003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2.0125778190153834E-2"/>
              <c:y val="5.027463011529508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42106852035122"/>
                  <c:h val="0.20922625232982003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3584900278353776"/>
              <c:y val="0.2178567304996122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548395761542807"/>
                  <c:h val="0.20922625232982003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32258017230518604"/>
          <c:y val="0.14395566331832352"/>
          <c:w val="0.33974532174701266"/>
          <c:h val="0.56579411813218539"/>
        </c:manualLayout>
      </c:layout>
      <c:pieChart>
        <c:varyColors val="1"/>
        <c:ser>
          <c:idx val="0"/>
          <c:order val="0"/>
          <c:tx>
            <c:strRef>
              <c:f>Traitement!$B$45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A25-4A9A-83CC-272F3B47CB7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A25-4A9A-83CC-272F3B47CB7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A25-4A9A-83CC-272F3B47CB7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A25-4A9A-83CC-272F3B47CB77}"/>
              </c:ext>
            </c:extLst>
          </c:dPt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6163503723665145"/>
                      <c:h val="0.2092262523298200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6A25-4A9A-83CC-272F3B47CB7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554684671050492"/>
                      <c:h val="0.2092262523298200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6A25-4A9A-83CC-272F3B47CB77}"/>
                </c:ext>
              </c:extLst>
            </c:dLbl>
            <c:dLbl>
              <c:idx val="2"/>
              <c:layout>
                <c:manualLayout>
                  <c:x val="-2.0125778190153834E-2"/>
                  <c:y val="5.0274630115295087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542106852035122"/>
                      <c:h val="0.2092262523298200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6A25-4A9A-83CC-272F3B47CB77}"/>
                </c:ext>
              </c:extLst>
            </c:dLbl>
            <c:dLbl>
              <c:idx val="3"/>
              <c:layout>
                <c:manualLayout>
                  <c:x val="0.13584900278353776"/>
                  <c:y val="0.21785673049961229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548395761542807"/>
                      <c:h val="0.2092262523298200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6A25-4A9A-83CC-272F3B47CB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Traitement!$A$46:$A$50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Traitement!$B$46:$B$50</c:f>
              <c:numCache>
                <c:formatCode>_-* #\ ##0.00\ [$€-40C]_-;\-* #\ ##0.00\ [$€-40C]_-;_-* "-"??\ [$€-40C]_-;_-@_-</c:formatCode>
                <c:ptCount val="4"/>
                <c:pt idx="0">
                  <c:v>1141</c:v>
                </c:pt>
                <c:pt idx="1">
                  <c:v>57320</c:v>
                </c:pt>
                <c:pt idx="2">
                  <c:v>67960</c:v>
                </c:pt>
                <c:pt idx="3">
                  <c:v>171510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A25-4A9A-83CC-272F3B47C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961814109121336"/>
          <c:y val="0.85370544476883237"/>
          <c:w val="0.80088949600772708"/>
          <c:h val="0.121157240173520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[Dashboard_Stock.xlsm]Traitement!SortieTotalCategorie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4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5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6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8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9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0"/>
        <c:spPr>
          <a:solidFill>
            <a:schemeClr val="accent1"/>
          </a:solidFill>
          <a:ln w="19050"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1577156772630144"/>
          <c:y val="0.144546254429266"/>
          <c:w val="0.33529391137744569"/>
          <c:h val="0.5973116050091577"/>
        </c:manualLayout>
      </c:layout>
      <c:pieChart>
        <c:varyColors val="1"/>
        <c:ser>
          <c:idx val="0"/>
          <c:order val="0"/>
          <c:tx>
            <c:strRef>
              <c:f>Traitement!$B$38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F31-44F0-A606-9E326FDBC3F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F31-44F0-A606-9E326FDBC3F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F31-44F0-A606-9E326FDBC3F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F31-44F0-A606-9E326FDBC3F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Traitement!$A$39:$A$43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Traitement!$B$39:$B$43</c:f>
              <c:numCache>
                <c:formatCode>General</c:formatCode>
                <c:ptCount val="4"/>
                <c:pt idx="0">
                  <c:v>338</c:v>
                </c:pt>
                <c:pt idx="1">
                  <c:v>84</c:v>
                </c:pt>
                <c:pt idx="2">
                  <c:v>133</c:v>
                </c:pt>
                <c:pt idx="3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F31-44F0-A606-9E326FDBC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189091392009168"/>
          <c:y val="0.85264466720362797"/>
          <c:w val="0.7351686442802402"/>
          <c:h val="0.122035747798325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2E9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Traitement!$E$53:$E$57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Traitement!$F$53:$F$57</c:f>
              <c:numCache>
                <c:formatCode>General</c:formatCode>
                <c:ptCount val="5"/>
                <c:pt idx="0">
                  <c:v>137</c:v>
                </c:pt>
                <c:pt idx="1">
                  <c:v>184</c:v>
                </c:pt>
                <c:pt idx="2">
                  <c:v>142</c:v>
                </c:pt>
                <c:pt idx="3">
                  <c:v>106</c:v>
                </c:pt>
                <c:pt idx="4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9-4AF2-A6C1-4A51170B86FA}"/>
            </c:ext>
          </c:extLst>
        </c:ser>
        <c:ser>
          <c:idx val="1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Traitement!$E$53:$E$57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Traitement!$G$53:$G$57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79-4AF2-A6C1-4A51170B86F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26"/>
        <c:overlap val="100"/>
        <c:axId val="1507641808"/>
        <c:axId val="1507642288"/>
      </c:barChart>
      <c:catAx>
        <c:axId val="1507641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07642288"/>
        <c:crosses val="autoZero"/>
        <c:auto val="1"/>
        <c:lblAlgn val="ctr"/>
        <c:lblOffset val="100"/>
        <c:noMultiLvlLbl val="0"/>
      </c:catAx>
      <c:valAx>
        <c:axId val="15076422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0764180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1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5000000000000001E-2"/>
          <c:y val="8.1708473291506239E-2"/>
          <c:w val="0.93888888888888888"/>
          <c:h val="0.7459737959697895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2E9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Traitement!$E$61:$E$65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Traitement!$F$61:$F$65</c:f>
              <c:numCache>
                <c:formatCode>General</c:formatCode>
                <c:ptCount val="5"/>
                <c:pt idx="0">
                  <c:v>71</c:v>
                </c:pt>
                <c:pt idx="1">
                  <c:v>100</c:v>
                </c:pt>
                <c:pt idx="2">
                  <c:v>187</c:v>
                </c:pt>
                <c:pt idx="3">
                  <c:v>253</c:v>
                </c:pt>
                <c:pt idx="4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4D-42CB-AECE-3DBC739490C4}"/>
            </c:ext>
          </c:extLst>
        </c:ser>
        <c:ser>
          <c:idx val="1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Traitement!$E$61:$E$65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Traitement!$G$61:$G$65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253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4D-42CB-AECE-3DBC739490C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26"/>
        <c:overlap val="100"/>
        <c:axId val="1576690656"/>
        <c:axId val="1576693056"/>
      </c:barChart>
      <c:catAx>
        <c:axId val="1576690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6693056"/>
        <c:crosses val="autoZero"/>
        <c:auto val="1"/>
        <c:lblAlgn val="ctr"/>
        <c:lblOffset val="100"/>
        <c:noMultiLvlLbl val="0"/>
      </c:catAx>
      <c:valAx>
        <c:axId val="15766930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7669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[Dashboard_Stock.xlsm]Traitement!ValeurENtreeMois</c:name>
    <c:fmtId val="5"/>
  </c:pivotSource>
  <c:chart>
    <c:autoTitleDeleted val="0"/>
    <c:pivotFmts>
      <c:pivotFmt>
        <c:idx val="0"/>
        <c:spPr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5000">
                <a:schemeClr val="accent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5000">
                <a:schemeClr val="accent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5000">
                <a:schemeClr val="accent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"/>
          <c:y val="0"/>
          <c:w val="0.93772116065109701"/>
          <c:h val="0.76435295783649926"/>
        </c:manualLayout>
      </c:layout>
      <c:areaChart>
        <c:grouping val="standard"/>
        <c:varyColors val="0"/>
        <c:ser>
          <c:idx val="0"/>
          <c:order val="0"/>
          <c:tx>
            <c:strRef>
              <c:f>Traitement!$B$68</c:f>
              <c:strCache>
                <c:ptCount val="1"/>
                <c:pt idx="0">
                  <c:v>Somme de Total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5000">
                  <a:schemeClr val="accent1">
                    <a:alpha val="50000"/>
                    <a:lumMod val="25000"/>
                    <a:lumOff val="75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cat>
            <c:strRef>
              <c:f>Traitement!$A$69:$A$74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Traitement!$B$69:$B$74</c:f>
              <c:numCache>
                <c:formatCode>_-* #\ ##0.00\ [$€-40C]_-;\-* #\ ##0.00\ [$€-40C]_-;_-* "-"??\ [$€-40C]_-;_-@_-</c:formatCode>
                <c:ptCount val="5"/>
                <c:pt idx="0">
                  <c:v>51548</c:v>
                </c:pt>
                <c:pt idx="1">
                  <c:v>76664.399999999994</c:v>
                </c:pt>
                <c:pt idx="2">
                  <c:v>38248</c:v>
                </c:pt>
                <c:pt idx="3">
                  <c:v>48081.15</c:v>
                </c:pt>
                <c:pt idx="4">
                  <c:v>76887.399999999994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9B-4975-A3C0-5A6C179D9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0928368"/>
        <c:axId val="1340937488"/>
      </c:areaChart>
      <c:lineChart>
        <c:grouping val="standard"/>
        <c:varyColors val="0"/>
        <c:ser>
          <c:idx val="1"/>
          <c:order val="1"/>
          <c:tx>
            <c:strRef>
              <c:f>Traitement!$C$68</c:f>
              <c:strCache>
                <c:ptCount val="1"/>
                <c:pt idx="0">
                  <c:v>Somme de Total2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Traitement!$A$69:$A$74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Traitement!$C$69:$C$74</c:f>
              <c:numCache>
                <c:formatCode>_-* #\ ##0.00\ [$€-40C]_-;\-* #\ ##0.00\ [$€-40C]_-;_-* "-"??\ [$€-40C]_-;_-@_-</c:formatCode>
                <c:ptCount val="5"/>
                <c:pt idx="0">
                  <c:v>51548</c:v>
                </c:pt>
                <c:pt idx="1">
                  <c:v>76664.399999999994</c:v>
                </c:pt>
                <c:pt idx="2">
                  <c:v>38248</c:v>
                </c:pt>
                <c:pt idx="3">
                  <c:v>48081.15</c:v>
                </c:pt>
                <c:pt idx="4">
                  <c:v>76887.399999999994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B9B-4975-A3C0-5A6C179D9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0928368"/>
        <c:axId val="1340937488"/>
      </c:lineChart>
      <c:catAx>
        <c:axId val="134092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0937488"/>
        <c:crosses val="autoZero"/>
        <c:auto val="1"/>
        <c:lblAlgn val="ctr"/>
        <c:lblOffset val="100"/>
        <c:noMultiLvlLbl val="0"/>
      </c:catAx>
      <c:valAx>
        <c:axId val="1340937488"/>
        <c:scaling>
          <c:orientation val="minMax"/>
        </c:scaling>
        <c:delete val="1"/>
        <c:axPos val="l"/>
        <c:numFmt formatCode="_-* #\ ##0.00\ [$€-40C]_-;\-* #\ ##0.00\ [$€-40C]_-;_-* &quot;-&quot;??\ [$€-40C]_-;_-@_-" sourceLinked="1"/>
        <c:majorTickMark val="none"/>
        <c:minorTickMark val="none"/>
        <c:tickLblPos val="nextTo"/>
        <c:crossAx val="134092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[Dashboard_Stock.xlsm]Traitement!ValeurSortieMois</c:name>
    <c:fmtId val="9"/>
  </c:pivotSource>
  <c:chart>
    <c:autoTitleDeleted val="0"/>
    <c:pivotFmts>
      <c:pivotFmt>
        <c:idx val="0"/>
        <c:spPr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7242578188067151E-2"/>
          <c:y val="7.8085268410424596E-2"/>
          <c:w val="0.92275742181193288"/>
          <c:h val="0.61851701231182465"/>
        </c:manualLayout>
      </c:layout>
      <c:areaChart>
        <c:grouping val="standard"/>
        <c:varyColors val="0"/>
        <c:ser>
          <c:idx val="0"/>
          <c:order val="0"/>
          <c:tx>
            <c:strRef>
              <c:f>Traitement!$B$76</c:f>
              <c:strCache>
                <c:ptCount val="1"/>
                <c:pt idx="0">
                  <c:v>Somme de Total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cat>
            <c:strRef>
              <c:f>Traitement!$A$77:$A$82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Traitement!$B$77:$B$82</c:f>
              <c:numCache>
                <c:formatCode>_("€"* #,##0.00_);_("€"* \(#,##0.00\);_("€"* "-"??_);_(@_)</c:formatCode>
                <c:ptCount val="5"/>
                <c:pt idx="0">
                  <c:v>38385.299999999996</c:v>
                </c:pt>
                <c:pt idx="1">
                  <c:v>60319.5</c:v>
                </c:pt>
                <c:pt idx="2">
                  <c:v>69065</c:v>
                </c:pt>
                <c:pt idx="3">
                  <c:v>74985</c:v>
                </c:pt>
                <c:pt idx="4">
                  <c:v>55176.2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2B-4C34-ACEE-A96F875F5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687136"/>
        <c:axId val="1509687616"/>
      </c:areaChart>
      <c:lineChart>
        <c:grouping val="standard"/>
        <c:varyColors val="0"/>
        <c:ser>
          <c:idx val="1"/>
          <c:order val="1"/>
          <c:tx>
            <c:strRef>
              <c:f>Traitement!$C$76</c:f>
              <c:strCache>
                <c:ptCount val="1"/>
                <c:pt idx="0">
                  <c:v>Somme de Total2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Traitement!$A$77:$A$82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Traitement!$C$77:$C$82</c:f>
              <c:numCache>
                <c:formatCode>_("€"* #,##0.00_);_("€"* \(#,##0.00\);_("€"* "-"??_);_(@_)</c:formatCode>
                <c:ptCount val="5"/>
                <c:pt idx="0">
                  <c:v>38385.299999999996</c:v>
                </c:pt>
                <c:pt idx="1">
                  <c:v>60319.5</c:v>
                </c:pt>
                <c:pt idx="2">
                  <c:v>69065</c:v>
                </c:pt>
                <c:pt idx="3">
                  <c:v>74985</c:v>
                </c:pt>
                <c:pt idx="4">
                  <c:v>55176.2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82B-4C34-ACEE-A96F875F5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9687136"/>
        <c:axId val="1509687616"/>
      </c:lineChart>
      <c:catAx>
        <c:axId val="150968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09687616"/>
        <c:crosses val="autoZero"/>
        <c:auto val="1"/>
        <c:lblAlgn val="ctr"/>
        <c:lblOffset val="100"/>
        <c:noMultiLvlLbl val="0"/>
      </c:catAx>
      <c:valAx>
        <c:axId val="1509687616"/>
        <c:scaling>
          <c:orientation val="minMax"/>
        </c:scaling>
        <c:delete val="1"/>
        <c:axPos val="l"/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crossAx val="150968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[Dashboard_Stock.xlsm]Traitement!TOP3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73025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100010090003349"/>
          <c:y val="3.8647551835380448E-2"/>
          <c:w val="0.68384633738964451"/>
          <c:h val="0.8550724637681159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Traitement!$B$84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 w="73025">
              <a:solidFill>
                <a:schemeClr val="accen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Traitement!$A$85:$A$88</c:f>
              <c:strCache>
                <c:ptCount val="3"/>
                <c:pt idx="0">
                  <c:v>Cuisinière CANDY</c:v>
                </c:pt>
                <c:pt idx="1">
                  <c:v>GOOGLE PIXEL 5</c:v>
                </c:pt>
                <c:pt idx="2">
                  <c:v>IPHONE 13 PRO</c:v>
                </c:pt>
              </c:strCache>
            </c:strRef>
          </c:cat>
          <c:val>
            <c:numRef>
              <c:f>Traitement!$B$85:$B$88</c:f>
              <c:numCache>
                <c:formatCode>_-* #\ ##0.00\ [$€-40C]_-;\-* #\ ##0.00\ [$€-40C]_-;_-* "-"??\ [$€-40C]_-;_-@_-</c:formatCode>
                <c:ptCount val="3"/>
                <c:pt idx="0">
                  <c:v>35400</c:v>
                </c:pt>
                <c:pt idx="1">
                  <c:v>42010</c:v>
                </c:pt>
                <c:pt idx="2">
                  <c:v>129500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5-4626-B4EA-CB7C34852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1"/>
        <c:axId val="97143504"/>
        <c:axId val="97141584"/>
      </c:barChart>
      <c:catAx>
        <c:axId val="971435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141584"/>
        <c:crosses val="autoZero"/>
        <c:auto val="1"/>
        <c:lblAlgn val="ctr"/>
        <c:lblOffset val="100"/>
        <c:noMultiLvlLbl val="0"/>
      </c:catAx>
      <c:valAx>
        <c:axId val="97141584"/>
        <c:scaling>
          <c:orientation val="minMax"/>
        </c:scaling>
        <c:delete val="1"/>
        <c:axPos val="b"/>
        <c:numFmt formatCode="_-* #\ ##0.00\ [$€-40C]_-;\-* #\ ##0.00\ [$€-40C]_-;_-* &quot;-&quot;??\ [$€-40C]_-;_-@_-" sourceLinked="1"/>
        <c:majorTickMark val="none"/>
        <c:minorTickMark val="none"/>
        <c:tickLblPos val="nextTo"/>
        <c:crossAx val="9714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[Dashboard_Stock.xlsm]Traitement!StockTotalCategorie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566-46BE-B479-830A22EC751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566-46BE-B479-830A22EC751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566-46BE-B479-830A22EC751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566-46BE-B479-830A22EC7516}"/>
              </c:ext>
            </c:extLst>
          </c:dPt>
          <c:cat>
            <c:strRef>
              <c:f>Traitement!$A$11:$A$15</c:f>
              <c:strCache>
                <c:ptCount val="4"/>
                <c:pt idx="0">
                  <c:v>Biscuits 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Traitement!$B$11:$B$15</c:f>
              <c:numCache>
                <c:formatCode>General</c:formatCode>
                <c:ptCount val="4"/>
                <c:pt idx="0">
                  <c:v>254</c:v>
                </c:pt>
                <c:pt idx="1">
                  <c:v>15</c:v>
                </c:pt>
                <c:pt idx="2">
                  <c:v>70</c:v>
                </c:pt>
                <c:pt idx="3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C77-8A38-6E1BE8AFC3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[Dashboard_Stock.xlsm]Traitement!StockValeurCategorie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Traitement!$B$17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2ED-4081-8732-D046322B38D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2ED-4081-8732-D046322B38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2ED-4081-8732-D046322B38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2ED-4081-8732-D046322B38DD}"/>
              </c:ext>
            </c:extLst>
          </c:dPt>
          <c:cat>
            <c:strRef>
              <c:f>Traitement!$A$18:$A$22</c:f>
              <c:strCache>
                <c:ptCount val="4"/>
                <c:pt idx="0">
                  <c:v>Biscuits 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Traitement!$B$18:$B$22</c:f>
              <c:numCache>
                <c:formatCode>_-* #\ ##0.00\ [$€-40C]_-;\-* #\ ##0.00\ [$€-40C]_-;_-* "-"??\ [$€-40C]_-;_-@_-</c:formatCode>
                <c:ptCount val="4"/>
                <c:pt idx="0">
                  <c:v>721.43523809523811</c:v>
                </c:pt>
                <c:pt idx="1">
                  <c:v>10588.6587366694</c:v>
                </c:pt>
                <c:pt idx="2">
                  <c:v>17750</c:v>
                </c:pt>
                <c:pt idx="3">
                  <c:v>25792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E8-4C47-BD3B-7BF8418E8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[Dashboard_Stock.xlsm]Traitement!EntreeTotalCategorie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Traitement!$B$24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DA5-4FC7-AF47-A38B67B63CD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DA5-4FC7-AF47-A38B67B63CD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DA5-4FC7-AF47-A38B67B63CD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DA5-4FC7-AF47-A38B67B63CD1}"/>
              </c:ext>
            </c:extLst>
          </c:dPt>
          <c:cat>
            <c:strRef>
              <c:f>Traitement!$A$25:$A$29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Traitement!$B$25:$B$29</c:f>
              <c:numCache>
                <c:formatCode>_-* #\ ##0_-;\-* #\ ##0_-;_-* "-"??_-;_-@_-</c:formatCode>
                <c:ptCount val="4"/>
                <c:pt idx="0">
                  <c:v>562</c:v>
                </c:pt>
                <c:pt idx="1">
                  <c:v>90</c:v>
                </c:pt>
                <c:pt idx="2">
                  <c:v>189</c:v>
                </c:pt>
                <c:pt idx="3">
                  <c:v>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4-46E4-BD3F-F98987BD3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[Dashboard_Stock.xlsm]Traitement!EntreeValeurCategorie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Traitement!$B$31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60-41AE-A2C1-1DA68AB64B7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60-41AE-A2C1-1DA68AB64B7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60-41AE-A2C1-1DA68AB64B7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60-41AE-A2C1-1DA68AB64B7C}"/>
              </c:ext>
            </c:extLst>
          </c:dPt>
          <c:cat>
            <c:strRef>
              <c:f>Traitement!$A$32:$A$36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Traitement!$B$32:$B$36</c:f>
              <c:numCache>
                <c:formatCode>_-* #\ ##0.00\ [$€-40C]_-;\-* #\ ##0.00\ [$€-40C]_-;_-* "-"??\ [$€-40C]_-;_-@_-</c:formatCode>
                <c:ptCount val="4"/>
                <c:pt idx="0">
                  <c:v>1593.9500000000003</c:v>
                </c:pt>
                <c:pt idx="1">
                  <c:v>53925</c:v>
                </c:pt>
                <c:pt idx="2">
                  <c:v>68550</c:v>
                </c:pt>
                <c:pt idx="3">
                  <c:v>167360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0-4F55-9563-AD4D8E11E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[Dashboard_Stock.xlsm]Traitement!SortieValeurCategorie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Traitement!$B$45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066-4B88-963F-0A179EA0019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066-4B88-963F-0A179EA0019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066-4B88-963F-0A179EA0019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066-4B88-963F-0A179EA0019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Traitement!$A$46:$A$50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Traitement!$B$46:$B$50</c:f>
              <c:numCache>
                <c:formatCode>_-* #\ ##0.00\ [$€-40C]_-;\-* #\ ##0.00\ [$€-40C]_-;_-* "-"??\ [$€-40C]_-;_-@_-</c:formatCode>
                <c:ptCount val="4"/>
                <c:pt idx="0">
                  <c:v>1141</c:v>
                </c:pt>
                <c:pt idx="1">
                  <c:v>57320</c:v>
                </c:pt>
                <c:pt idx="2">
                  <c:v>67960</c:v>
                </c:pt>
                <c:pt idx="3">
                  <c:v>171510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90-42C2-89F5-09049D391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[Dashboard_Stock.xlsm]Traitement!SortieTotalCategorie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4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5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6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8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9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0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1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3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4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5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6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8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9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20"/>
        <c:spPr>
          <a:solidFill>
            <a:schemeClr val="accent1"/>
          </a:solidFill>
          <a:ln w="19050"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1577156772630144"/>
          <c:y val="0.144546254429266"/>
          <c:w val="0.33529391137744569"/>
          <c:h val="0.5973116050091577"/>
        </c:manualLayout>
      </c:layout>
      <c:pieChart>
        <c:varyColors val="1"/>
        <c:ser>
          <c:idx val="0"/>
          <c:order val="0"/>
          <c:tx>
            <c:strRef>
              <c:f>Traitement!$B$38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EC-4DF3-90A0-0B7AE3D14A2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9EC-4DF3-90A0-0B7AE3D14A2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9EC-4DF3-90A0-0B7AE3D14A2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9EC-4DF3-90A0-0B7AE3D14A2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Traitement!$A$39:$A$43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Traitement!$B$39:$B$43</c:f>
              <c:numCache>
                <c:formatCode>General</c:formatCode>
                <c:ptCount val="4"/>
                <c:pt idx="0">
                  <c:v>338</c:v>
                </c:pt>
                <c:pt idx="1">
                  <c:v>84</c:v>
                </c:pt>
                <c:pt idx="2">
                  <c:v>133</c:v>
                </c:pt>
                <c:pt idx="3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EC-4DF3-90A0-0B7AE3D14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189091392009168"/>
          <c:y val="0.85264466720362797"/>
          <c:w val="0.7351686442802402"/>
          <c:h val="0.122035747798325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Traitement!$E$53:$E$57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Traitement!$F$53:$F$57</c:f>
              <c:numCache>
                <c:formatCode>General</c:formatCode>
                <c:ptCount val="5"/>
                <c:pt idx="0">
                  <c:v>137</c:v>
                </c:pt>
                <c:pt idx="1">
                  <c:v>184</c:v>
                </c:pt>
                <c:pt idx="2">
                  <c:v>142</c:v>
                </c:pt>
                <c:pt idx="3">
                  <c:v>106</c:v>
                </c:pt>
                <c:pt idx="4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C4-4EEE-AFFF-811086386504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Traitement!$E$53:$E$57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Traitement!$G$53:$G$57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C4-4EEE-AFFF-811086386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6"/>
        <c:overlap val="100"/>
        <c:axId val="1507641808"/>
        <c:axId val="1507642288"/>
      </c:barChart>
      <c:catAx>
        <c:axId val="1507641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07642288"/>
        <c:crosses val="autoZero"/>
        <c:auto val="1"/>
        <c:lblAlgn val="ctr"/>
        <c:lblOffset val="100"/>
        <c:noMultiLvlLbl val="0"/>
      </c:catAx>
      <c:valAx>
        <c:axId val="15076422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0764180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5000000000000001E-2"/>
          <c:y val="8.1708473291506239E-2"/>
          <c:w val="0.93888888888888888"/>
          <c:h val="0.7459737959697895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Traitement!$E$61:$E$65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Traitement!$F$61:$F$65</c:f>
              <c:numCache>
                <c:formatCode>General</c:formatCode>
                <c:ptCount val="5"/>
                <c:pt idx="0">
                  <c:v>71</c:v>
                </c:pt>
                <c:pt idx="1">
                  <c:v>100</c:v>
                </c:pt>
                <c:pt idx="2">
                  <c:v>187</c:v>
                </c:pt>
                <c:pt idx="3">
                  <c:v>253</c:v>
                </c:pt>
                <c:pt idx="4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A4-448B-A602-1016E279BA55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Traitement!$E$61:$E$65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Traitement!$G$61:$G$65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253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A4-448B-A602-1016E279B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6"/>
        <c:overlap val="100"/>
        <c:axId val="1576690656"/>
        <c:axId val="1576693056"/>
      </c:barChart>
      <c:catAx>
        <c:axId val="1576690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6693056"/>
        <c:crosses val="autoZero"/>
        <c:auto val="1"/>
        <c:lblAlgn val="ctr"/>
        <c:lblOffset val="100"/>
        <c:noMultiLvlLbl val="0"/>
      </c:catAx>
      <c:valAx>
        <c:axId val="15766930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7669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[Dashboard_Stock.xlsm]Traitement!ValeurENtreeMois</c:name>
    <c:fmtId val="0"/>
  </c:pivotSource>
  <c:chart>
    <c:autoTitleDeleted val="0"/>
    <c:pivotFmts>
      <c:pivotFmt>
        <c:idx val="0"/>
        <c:spPr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5000">
                <a:schemeClr val="accent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"/>
          <c:y val="0"/>
          <c:w val="0.93772116065109701"/>
          <c:h val="0.76435295783649926"/>
        </c:manualLayout>
      </c:layout>
      <c:areaChart>
        <c:grouping val="standard"/>
        <c:varyColors val="0"/>
        <c:ser>
          <c:idx val="0"/>
          <c:order val="0"/>
          <c:tx>
            <c:strRef>
              <c:f>Traitement!$B$68</c:f>
              <c:strCache>
                <c:ptCount val="1"/>
                <c:pt idx="0">
                  <c:v>Somme de Total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5000">
                  <a:schemeClr val="accent1">
                    <a:alpha val="50000"/>
                    <a:lumMod val="25000"/>
                    <a:lumOff val="75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cat>
            <c:strRef>
              <c:f>Traitement!$A$69:$A$74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Traitement!$B$69:$B$74</c:f>
              <c:numCache>
                <c:formatCode>_-* #\ ##0.00\ [$€-40C]_-;\-* #\ ##0.00\ [$€-40C]_-;_-* "-"??\ [$€-40C]_-;_-@_-</c:formatCode>
                <c:ptCount val="5"/>
                <c:pt idx="0">
                  <c:v>51548</c:v>
                </c:pt>
                <c:pt idx="1">
                  <c:v>76664.399999999994</c:v>
                </c:pt>
                <c:pt idx="2">
                  <c:v>38248</c:v>
                </c:pt>
                <c:pt idx="3">
                  <c:v>48081.15</c:v>
                </c:pt>
                <c:pt idx="4">
                  <c:v>76887.399999999994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F6-4D55-A781-1A2F85B47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0928368"/>
        <c:axId val="1340937488"/>
      </c:areaChart>
      <c:lineChart>
        <c:grouping val="standard"/>
        <c:varyColors val="0"/>
        <c:ser>
          <c:idx val="1"/>
          <c:order val="1"/>
          <c:tx>
            <c:strRef>
              <c:f>Traitement!$C$68</c:f>
              <c:strCache>
                <c:ptCount val="1"/>
                <c:pt idx="0">
                  <c:v>Somme de Total2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Traitement!$A$69:$A$74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Traitement!$C$69:$C$74</c:f>
              <c:numCache>
                <c:formatCode>_-* #\ ##0.00\ [$€-40C]_-;\-* #\ ##0.00\ [$€-40C]_-;_-* "-"??\ [$€-40C]_-;_-@_-</c:formatCode>
                <c:ptCount val="5"/>
                <c:pt idx="0">
                  <c:v>51548</c:v>
                </c:pt>
                <c:pt idx="1">
                  <c:v>76664.399999999994</c:v>
                </c:pt>
                <c:pt idx="2">
                  <c:v>38248</c:v>
                </c:pt>
                <c:pt idx="3">
                  <c:v>48081.15</c:v>
                </c:pt>
                <c:pt idx="4">
                  <c:v>76887.399999999994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3F6-4D55-A781-1A2F85B47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0928368"/>
        <c:axId val="1340937488"/>
      </c:lineChart>
      <c:catAx>
        <c:axId val="134092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0937488"/>
        <c:crosses val="autoZero"/>
        <c:auto val="1"/>
        <c:lblAlgn val="ctr"/>
        <c:lblOffset val="100"/>
        <c:noMultiLvlLbl val="0"/>
      </c:catAx>
      <c:valAx>
        <c:axId val="1340937488"/>
        <c:scaling>
          <c:orientation val="minMax"/>
        </c:scaling>
        <c:delete val="1"/>
        <c:axPos val="l"/>
        <c:numFmt formatCode="_-* #\ ##0.00\ [$€-40C]_-;\-* #\ ##0.00\ [$€-40C]_-;_-* &quot;-&quot;??\ [$€-40C]_-;_-@_-" sourceLinked="1"/>
        <c:majorTickMark val="none"/>
        <c:minorTickMark val="none"/>
        <c:tickLblPos val="nextTo"/>
        <c:crossAx val="134092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[Dashboard_Stock.xlsm]Traitement!ValeurSortieMois</c:name>
    <c:fmtId val="0"/>
  </c:pivotSource>
  <c:chart>
    <c:autoTitleDeleted val="0"/>
    <c:pivotFmts>
      <c:pivotFmt>
        <c:idx val="0"/>
        <c:spPr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Traitement!$B$76</c:f>
              <c:strCache>
                <c:ptCount val="1"/>
                <c:pt idx="0">
                  <c:v>Somme de Total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cat>
            <c:strRef>
              <c:f>Traitement!$A$77:$A$82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Traitement!$B$77:$B$82</c:f>
              <c:numCache>
                <c:formatCode>_("€"* #,##0.00_);_("€"* \(#,##0.00\);_("€"* "-"??_);_(@_)</c:formatCode>
                <c:ptCount val="5"/>
                <c:pt idx="0">
                  <c:v>38385.299999999996</c:v>
                </c:pt>
                <c:pt idx="1">
                  <c:v>60319.5</c:v>
                </c:pt>
                <c:pt idx="2">
                  <c:v>69065</c:v>
                </c:pt>
                <c:pt idx="3">
                  <c:v>74985</c:v>
                </c:pt>
                <c:pt idx="4">
                  <c:v>55176.2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08-4AFC-AABA-98AC4A5E3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687136"/>
        <c:axId val="1509687616"/>
      </c:areaChart>
      <c:lineChart>
        <c:grouping val="standard"/>
        <c:varyColors val="0"/>
        <c:ser>
          <c:idx val="1"/>
          <c:order val="1"/>
          <c:tx>
            <c:strRef>
              <c:f>Traitement!$C$76</c:f>
              <c:strCache>
                <c:ptCount val="1"/>
                <c:pt idx="0">
                  <c:v>Somme de Total2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Traitement!$A$77:$A$82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Traitement!$C$77:$C$82</c:f>
              <c:numCache>
                <c:formatCode>_("€"* #,##0.00_);_("€"* \(#,##0.00\);_("€"* "-"??_);_(@_)</c:formatCode>
                <c:ptCount val="5"/>
                <c:pt idx="0">
                  <c:v>38385.299999999996</c:v>
                </c:pt>
                <c:pt idx="1">
                  <c:v>60319.5</c:v>
                </c:pt>
                <c:pt idx="2">
                  <c:v>69065</c:v>
                </c:pt>
                <c:pt idx="3">
                  <c:v>74985</c:v>
                </c:pt>
                <c:pt idx="4">
                  <c:v>55176.2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08-4AFC-AABA-98AC4A5E3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9687136"/>
        <c:axId val="1509687616"/>
      </c:lineChart>
      <c:catAx>
        <c:axId val="150968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09687616"/>
        <c:crosses val="autoZero"/>
        <c:auto val="1"/>
        <c:lblAlgn val="ctr"/>
        <c:lblOffset val="100"/>
        <c:noMultiLvlLbl val="0"/>
      </c:catAx>
      <c:valAx>
        <c:axId val="1509687616"/>
        <c:scaling>
          <c:orientation val="minMax"/>
        </c:scaling>
        <c:delete val="1"/>
        <c:axPos val="l"/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crossAx val="150968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[Dashboard_Stock.xlsm]Traitement!TOP3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Traitement!$B$84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Traitement!$A$85:$A$88</c:f>
              <c:strCache>
                <c:ptCount val="3"/>
                <c:pt idx="0">
                  <c:v>Cuisinière CANDY</c:v>
                </c:pt>
                <c:pt idx="1">
                  <c:v>GOOGLE PIXEL 5</c:v>
                </c:pt>
                <c:pt idx="2">
                  <c:v>IPHONE 13 PRO</c:v>
                </c:pt>
              </c:strCache>
            </c:strRef>
          </c:cat>
          <c:val>
            <c:numRef>
              <c:f>Traitement!$B$85:$B$88</c:f>
              <c:numCache>
                <c:formatCode>_-* #\ ##0.00\ [$€-40C]_-;\-* #\ ##0.00\ [$€-40C]_-;_-* "-"??\ [$€-40C]_-;_-@_-</c:formatCode>
                <c:ptCount val="3"/>
                <c:pt idx="0">
                  <c:v>35400</c:v>
                </c:pt>
                <c:pt idx="1">
                  <c:v>42010</c:v>
                </c:pt>
                <c:pt idx="2">
                  <c:v>129500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15-420D-B1A9-F9AC3C4FC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143504"/>
        <c:axId val="97141584"/>
      </c:barChart>
      <c:catAx>
        <c:axId val="971435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141584"/>
        <c:crosses val="autoZero"/>
        <c:auto val="1"/>
        <c:lblAlgn val="ctr"/>
        <c:lblOffset val="100"/>
        <c:noMultiLvlLbl val="0"/>
      </c:catAx>
      <c:valAx>
        <c:axId val="97141584"/>
        <c:scaling>
          <c:orientation val="minMax"/>
        </c:scaling>
        <c:delete val="1"/>
        <c:axPos val="b"/>
        <c:numFmt formatCode="_-* #\ ##0.00\ [$€-40C]_-;\-* #\ ##0.00\ [$€-40C]_-;_-* &quot;-&quot;??\ [$€-40C]_-;_-@_-" sourceLinked="1"/>
        <c:majorTickMark val="none"/>
        <c:minorTickMark val="none"/>
        <c:tickLblPos val="nextTo"/>
        <c:crossAx val="9714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13" Type="http://schemas.openxmlformats.org/officeDocument/2006/relationships/chart" Target="../charts/chart7.xml"/><Relationship Id="rId18" Type="http://schemas.openxmlformats.org/officeDocument/2006/relationships/image" Target="../media/image7.png"/><Relationship Id="rId3" Type="http://schemas.openxmlformats.org/officeDocument/2006/relationships/image" Target="../media/image3.png"/><Relationship Id="rId21" Type="http://schemas.openxmlformats.org/officeDocument/2006/relationships/image" Target="../media/image10.png"/><Relationship Id="rId7" Type="http://schemas.openxmlformats.org/officeDocument/2006/relationships/chart" Target="../charts/chart1.xml"/><Relationship Id="rId12" Type="http://schemas.openxmlformats.org/officeDocument/2006/relationships/chart" Target="../charts/chart6.xml"/><Relationship Id="rId17" Type="http://schemas.openxmlformats.org/officeDocument/2006/relationships/chart" Target="../charts/chart11.xml"/><Relationship Id="rId2" Type="http://schemas.openxmlformats.org/officeDocument/2006/relationships/image" Target="../media/image2.png"/><Relationship Id="rId16" Type="http://schemas.openxmlformats.org/officeDocument/2006/relationships/chart" Target="../charts/chart10.xml"/><Relationship Id="rId20" Type="http://schemas.openxmlformats.org/officeDocument/2006/relationships/image" Target="../media/image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5.xml"/><Relationship Id="rId5" Type="http://schemas.openxmlformats.org/officeDocument/2006/relationships/image" Target="../media/image5.png"/><Relationship Id="rId15" Type="http://schemas.openxmlformats.org/officeDocument/2006/relationships/chart" Target="../charts/chart9.xml"/><Relationship Id="rId10" Type="http://schemas.openxmlformats.org/officeDocument/2006/relationships/chart" Target="../charts/chart4.xml"/><Relationship Id="rId19" Type="http://schemas.openxmlformats.org/officeDocument/2006/relationships/image" Target="../media/image8.png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chart" Target="../charts/chart8.xml"/><Relationship Id="rId22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583350</xdr:colOff>
      <xdr:row>2</xdr:row>
      <xdr:rowOff>138375</xdr:rowOff>
    </xdr:from>
    <xdr:to>
      <xdr:col>6</xdr:col>
      <xdr:colOff>133350</xdr:colOff>
      <xdr:row>5</xdr:row>
      <xdr:rowOff>142875</xdr:rowOff>
    </xdr:to>
    <xdr:sp macro="" textlink="Traitement!A2">
      <xdr:nvSpPr>
        <xdr:cNvPr id="2" name="Rectangle : coins arrondis 1">
          <a:extLst>
            <a:ext uri="{FF2B5EF4-FFF2-40B4-BE49-F238E27FC236}">
              <a16:creationId xmlns:a16="http://schemas.microsoft.com/office/drawing/2014/main" id="{67675321-25C9-6370-25D6-85BD3AC222D1}"/>
            </a:ext>
          </a:extLst>
        </xdr:cNvPr>
        <xdr:cNvSpPr/>
      </xdr:nvSpPr>
      <xdr:spPr>
        <a:xfrm>
          <a:off x="2869350" y="519375"/>
          <a:ext cx="1836000" cy="5760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fld id="{1DF2EC53-3F05-4167-BF81-FDF1EFD7D7D4}" type="TxLink">
            <a:rPr lang="en-US" sz="1600" b="0" i="0" u="none" strike="noStrike">
              <a:solidFill>
                <a:schemeClr val="bg1"/>
              </a:solidFill>
              <a:latin typeface="Aptos Black" panose="020B0004020202020204" pitchFamily="34" charset="0"/>
              <a:ea typeface="Calibri"/>
              <a:cs typeface="Calibri"/>
            </a:rPr>
            <a:pPr marL="0" indent="0" algn="l"/>
            <a:t>366</a:t>
          </a:fld>
          <a:endParaRPr lang="fr-FR" sz="1600" b="0" i="0" u="none" strike="noStrike">
            <a:solidFill>
              <a:schemeClr val="bg1"/>
            </a:solidFill>
            <a:latin typeface="Aptos Black" panose="020B0004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14</xdr:col>
      <xdr:colOff>297600</xdr:colOff>
      <xdr:row>2</xdr:row>
      <xdr:rowOff>186000</xdr:rowOff>
    </xdr:from>
    <xdr:to>
      <xdr:col>16</xdr:col>
      <xdr:colOff>609600</xdr:colOff>
      <xdr:row>6</xdr:row>
      <xdr:rowOff>0</xdr:rowOff>
    </xdr:to>
    <xdr:sp macro="" textlink="Traitement!A8">
      <xdr:nvSpPr>
        <xdr:cNvPr id="6" name="Rectangle : coins arrondis 5">
          <a:extLst>
            <a:ext uri="{FF2B5EF4-FFF2-40B4-BE49-F238E27FC236}">
              <a16:creationId xmlns:a16="http://schemas.microsoft.com/office/drawing/2014/main" id="{D18B9BCD-7567-C1A6-F20D-EE70F33AD6B0}"/>
            </a:ext>
          </a:extLst>
        </xdr:cNvPr>
        <xdr:cNvSpPr/>
      </xdr:nvSpPr>
      <xdr:spPr>
        <a:xfrm>
          <a:off x="11184675" y="567000"/>
          <a:ext cx="1836000" cy="5760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fld id="{F4CD618E-025F-48BF-BBE1-4FC06EB46839}" type="TxLink">
            <a:rPr lang="en-US" sz="1600" b="0" i="0" u="none" strike="noStrike">
              <a:solidFill>
                <a:schemeClr val="bg1"/>
              </a:solidFill>
              <a:latin typeface="Aptos Black" panose="020B0004020202020204" pitchFamily="34" charset="0"/>
              <a:ea typeface="Calibri"/>
              <a:cs typeface="Calibri"/>
            </a:rPr>
            <a:pPr marL="0" indent="0" algn="l"/>
            <a:t>702</a:t>
          </a:fld>
          <a:endParaRPr lang="fr-FR" sz="1600" b="0" i="0" u="none" strike="noStrike">
            <a:solidFill>
              <a:schemeClr val="bg1"/>
            </a:solidFill>
            <a:latin typeface="Aptos Black" panose="020B0004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17</xdr:col>
      <xdr:colOff>97575</xdr:colOff>
      <xdr:row>2</xdr:row>
      <xdr:rowOff>119325</xdr:rowOff>
    </xdr:from>
    <xdr:to>
      <xdr:col>19</xdr:col>
      <xdr:colOff>409575</xdr:colOff>
      <xdr:row>5</xdr:row>
      <xdr:rowOff>123825</xdr:rowOff>
    </xdr:to>
    <xdr:sp macro="" textlink="Traitement!B8">
      <xdr:nvSpPr>
        <xdr:cNvPr id="7" name="Rectangle : coins arrondis 6">
          <a:extLst>
            <a:ext uri="{FF2B5EF4-FFF2-40B4-BE49-F238E27FC236}">
              <a16:creationId xmlns:a16="http://schemas.microsoft.com/office/drawing/2014/main" id="{F99506EE-3624-1033-EA20-FE1FB4C1A684}"/>
            </a:ext>
          </a:extLst>
        </xdr:cNvPr>
        <xdr:cNvSpPr/>
      </xdr:nvSpPr>
      <xdr:spPr>
        <a:xfrm>
          <a:off x="13051575" y="500325"/>
          <a:ext cx="1836000" cy="5760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fld id="{3F748500-4567-4921-A8C7-F3DDA15E02EF}" type="TxLink">
            <a:rPr lang="en-US" sz="1600" b="0" i="0" u="none" strike="noStrike">
              <a:solidFill>
                <a:schemeClr val="bg1"/>
              </a:solidFill>
              <a:latin typeface="Aptos Black" panose="020B0004020202020204" pitchFamily="34" charset="0"/>
              <a:ea typeface="Calibri"/>
              <a:cs typeface="Calibri"/>
            </a:rPr>
            <a:pPr marL="0" indent="0" algn="l"/>
            <a:t> 297 931,00 </a:t>
          </a:fld>
          <a:endParaRPr lang="fr-FR" sz="1600" b="0" i="0" u="none" strike="noStrike">
            <a:solidFill>
              <a:schemeClr val="bg1"/>
            </a:solidFill>
            <a:latin typeface="Aptos Black" panose="020B0004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3</xdr:col>
      <xdr:colOff>554774</xdr:colOff>
      <xdr:row>7</xdr:row>
      <xdr:rowOff>62175</xdr:rowOff>
    </xdr:from>
    <xdr:to>
      <xdr:col>8</xdr:col>
      <xdr:colOff>676275</xdr:colOff>
      <xdr:row>15</xdr:row>
      <xdr:rowOff>122175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85F1C25E-AC91-4B0B-5B9F-F7F9B1F36088}"/>
            </a:ext>
          </a:extLst>
        </xdr:cNvPr>
        <xdr:cNvSpPr/>
      </xdr:nvSpPr>
      <xdr:spPr>
        <a:xfrm>
          <a:off x="2840774" y="1395675"/>
          <a:ext cx="3931501" cy="15840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116625</xdr:colOff>
      <xdr:row>7</xdr:row>
      <xdr:rowOff>119325</xdr:rowOff>
    </xdr:from>
    <xdr:to>
      <xdr:col>19</xdr:col>
      <xdr:colOff>457200</xdr:colOff>
      <xdr:row>15</xdr:row>
      <xdr:rowOff>179325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A8B1CDB1-473D-AC21-5171-F68A5FA51D2B}"/>
            </a:ext>
          </a:extLst>
        </xdr:cNvPr>
        <xdr:cNvSpPr/>
      </xdr:nvSpPr>
      <xdr:spPr>
        <a:xfrm>
          <a:off x="6974625" y="1452825"/>
          <a:ext cx="7960575" cy="15840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554774</xdr:colOff>
      <xdr:row>16</xdr:row>
      <xdr:rowOff>143137</xdr:rowOff>
    </xdr:from>
    <xdr:to>
      <xdr:col>8</xdr:col>
      <xdr:colOff>676275</xdr:colOff>
      <xdr:row>25</xdr:row>
      <xdr:rowOff>12637</xdr:rowOff>
    </xdr:to>
    <xdr:sp macro="" textlink="">
      <xdr:nvSpPr>
        <xdr:cNvPr id="15" name="Rectangle : coins arrondis 14">
          <a:extLst>
            <a:ext uri="{FF2B5EF4-FFF2-40B4-BE49-F238E27FC236}">
              <a16:creationId xmlns:a16="http://schemas.microsoft.com/office/drawing/2014/main" id="{2F9BFE19-302E-6CBD-1DBC-A1A5E88005B8}"/>
            </a:ext>
          </a:extLst>
        </xdr:cNvPr>
        <xdr:cNvSpPr/>
      </xdr:nvSpPr>
      <xdr:spPr>
        <a:xfrm>
          <a:off x="2840774" y="3191137"/>
          <a:ext cx="3931501" cy="1584000"/>
        </a:xfrm>
        <a:prstGeom prst="roundRect">
          <a:avLst/>
        </a:prstGeom>
        <a:solidFill>
          <a:srgbClr val="F2E9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564299</xdr:colOff>
      <xdr:row>26</xdr:row>
      <xdr:rowOff>105037</xdr:rowOff>
    </xdr:from>
    <xdr:to>
      <xdr:col>8</xdr:col>
      <xdr:colOff>685800</xdr:colOff>
      <xdr:row>34</xdr:row>
      <xdr:rowOff>165037</xdr:rowOff>
    </xdr:to>
    <xdr:sp macro="" textlink="">
      <xdr:nvSpPr>
        <xdr:cNvPr id="16" name="Rectangle : coins arrondis 15">
          <a:extLst>
            <a:ext uri="{FF2B5EF4-FFF2-40B4-BE49-F238E27FC236}">
              <a16:creationId xmlns:a16="http://schemas.microsoft.com/office/drawing/2014/main" id="{B3A98B31-94D7-9749-8974-430A940E6792}"/>
            </a:ext>
          </a:extLst>
        </xdr:cNvPr>
        <xdr:cNvSpPr/>
      </xdr:nvSpPr>
      <xdr:spPr>
        <a:xfrm>
          <a:off x="2850299" y="5058037"/>
          <a:ext cx="3931501" cy="15840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107099</xdr:colOff>
      <xdr:row>16</xdr:row>
      <xdr:rowOff>95512</xdr:rowOff>
    </xdr:from>
    <xdr:to>
      <xdr:col>14</xdr:col>
      <xdr:colOff>228600</xdr:colOff>
      <xdr:row>24</xdr:row>
      <xdr:rowOff>155512</xdr:rowOff>
    </xdr:to>
    <xdr:sp macro="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26BE5FE3-76E5-40F8-5555-48B0449690C5}"/>
            </a:ext>
          </a:extLst>
        </xdr:cNvPr>
        <xdr:cNvSpPr/>
      </xdr:nvSpPr>
      <xdr:spPr>
        <a:xfrm>
          <a:off x="6965099" y="3143512"/>
          <a:ext cx="3931501" cy="15840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14</xdr:col>
      <xdr:colOff>316649</xdr:colOff>
      <xdr:row>16</xdr:row>
      <xdr:rowOff>143137</xdr:rowOff>
    </xdr:from>
    <xdr:to>
      <xdr:col>19</xdr:col>
      <xdr:colOff>438150</xdr:colOff>
      <xdr:row>25</xdr:row>
      <xdr:rowOff>12637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28180CA0-EEC8-BB85-1360-E433B2BD8FA7}"/>
            </a:ext>
          </a:extLst>
        </xdr:cNvPr>
        <xdr:cNvSpPr/>
      </xdr:nvSpPr>
      <xdr:spPr>
        <a:xfrm>
          <a:off x="10984649" y="3191137"/>
          <a:ext cx="3931501" cy="15840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116624</xdr:colOff>
      <xdr:row>26</xdr:row>
      <xdr:rowOff>105037</xdr:rowOff>
    </xdr:from>
    <xdr:to>
      <xdr:col>14</xdr:col>
      <xdr:colOff>238125</xdr:colOff>
      <xdr:row>34</xdr:row>
      <xdr:rowOff>165037</xdr:rowOff>
    </xdr:to>
    <xdr:sp macro="" textlink="">
      <xdr:nvSpPr>
        <xdr:cNvPr id="19" name="Rectangle : coins arrondis 18">
          <a:extLst>
            <a:ext uri="{FF2B5EF4-FFF2-40B4-BE49-F238E27FC236}">
              <a16:creationId xmlns:a16="http://schemas.microsoft.com/office/drawing/2014/main" id="{AEB7D650-DBE6-F150-E511-E1B6135DA09B}"/>
            </a:ext>
          </a:extLst>
        </xdr:cNvPr>
        <xdr:cNvSpPr/>
      </xdr:nvSpPr>
      <xdr:spPr>
        <a:xfrm>
          <a:off x="6974624" y="5058037"/>
          <a:ext cx="3931501" cy="15840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14</xdr:col>
      <xdr:colOff>326174</xdr:colOff>
      <xdr:row>26</xdr:row>
      <xdr:rowOff>85987</xdr:rowOff>
    </xdr:from>
    <xdr:to>
      <xdr:col>19</xdr:col>
      <xdr:colOff>447675</xdr:colOff>
      <xdr:row>34</xdr:row>
      <xdr:rowOff>145987</xdr:rowOff>
    </xdr:to>
    <xdr:sp macro="" textlink="">
      <xdr:nvSpPr>
        <xdr:cNvPr id="20" name="Rectangle : coins arrondis 19">
          <a:extLst>
            <a:ext uri="{FF2B5EF4-FFF2-40B4-BE49-F238E27FC236}">
              <a16:creationId xmlns:a16="http://schemas.microsoft.com/office/drawing/2014/main" id="{35137CBD-F84B-BB2B-AC8B-93999ECD8946}"/>
            </a:ext>
          </a:extLst>
        </xdr:cNvPr>
        <xdr:cNvSpPr/>
      </xdr:nvSpPr>
      <xdr:spPr>
        <a:xfrm>
          <a:off x="10994174" y="5038987"/>
          <a:ext cx="3931501" cy="15840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619125</xdr:colOff>
      <xdr:row>2</xdr:row>
      <xdr:rowOff>152400</xdr:rowOff>
    </xdr:from>
    <xdr:to>
      <xdr:col>5</xdr:col>
      <xdr:colOff>219075</xdr:colOff>
      <xdr:row>4</xdr:row>
      <xdr:rowOff>28575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34157FA4-497F-A441-3FB6-4A02A27B75B1}"/>
            </a:ext>
          </a:extLst>
        </xdr:cNvPr>
        <xdr:cNvSpPr txBox="1"/>
      </xdr:nvSpPr>
      <xdr:spPr>
        <a:xfrm>
          <a:off x="2905125" y="533400"/>
          <a:ext cx="11239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bg1"/>
              </a:solidFill>
              <a:latin typeface="+mn-lt"/>
            </a:rPr>
            <a:t>Stock total</a:t>
          </a:r>
        </a:p>
      </xdr:txBody>
    </xdr:sp>
    <xdr:clientData/>
  </xdr:twoCellAnchor>
  <xdr:twoCellAnchor>
    <xdr:from>
      <xdr:col>14</xdr:col>
      <xdr:colOff>358140</xdr:colOff>
      <xdr:row>2</xdr:row>
      <xdr:rowOff>180975</xdr:rowOff>
    </xdr:from>
    <xdr:to>
      <xdr:col>16</xdr:col>
      <xdr:colOff>495300</xdr:colOff>
      <xdr:row>4</xdr:row>
      <xdr:rowOff>57150</xdr:rowOff>
    </xdr:to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21A8B0CF-9072-D1BF-F7AB-B35AE77CEAF3}"/>
            </a:ext>
          </a:extLst>
        </xdr:cNvPr>
        <xdr:cNvSpPr txBox="1"/>
      </xdr:nvSpPr>
      <xdr:spPr>
        <a:xfrm>
          <a:off x="11245215" y="561975"/>
          <a:ext cx="16611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bg1"/>
              </a:solidFill>
              <a:latin typeface="+mn-lt"/>
            </a:rPr>
            <a:t>Total des sorties</a:t>
          </a:r>
        </a:p>
      </xdr:txBody>
    </xdr:sp>
    <xdr:clientData/>
  </xdr:twoCellAnchor>
  <xdr:twoCellAnchor>
    <xdr:from>
      <xdr:col>17</xdr:col>
      <xdr:colOff>133350</xdr:colOff>
      <xdr:row>2</xdr:row>
      <xdr:rowOff>123825</xdr:rowOff>
    </xdr:from>
    <xdr:to>
      <xdr:col>19</xdr:col>
      <xdr:colOff>152400</xdr:colOff>
      <xdr:row>4</xdr:row>
      <xdr:rowOff>0</xdr:rowOff>
    </xdr:to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0605847C-9464-6F00-A47D-7D69074904FE}"/>
            </a:ext>
          </a:extLst>
        </xdr:cNvPr>
        <xdr:cNvSpPr txBox="1"/>
      </xdr:nvSpPr>
      <xdr:spPr>
        <a:xfrm>
          <a:off x="13087350" y="504825"/>
          <a:ext cx="15430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bg1"/>
              </a:solidFill>
              <a:latin typeface="+mn-lt"/>
            </a:rPr>
            <a:t>Total des sorties</a:t>
          </a:r>
        </a:p>
      </xdr:txBody>
    </xdr:sp>
    <xdr:clientData/>
  </xdr:twoCellAnchor>
  <xdr:twoCellAnchor editAs="oneCell">
    <xdr:from>
      <xdr:col>5</xdr:col>
      <xdr:colOff>514350</xdr:colOff>
      <xdr:row>4</xdr:row>
      <xdr:rowOff>0</xdr:rowOff>
    </xdr:from>
    <xdr:to>
      <xdr:col>6</xdr:col>
      <xdr:colOff>40350</xdr:colOff>
      <xdr:row>5</xdr:row>
      <xdr:rowOff>97500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5F34165F-4F38-A24C-1392-3822BFB0C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4350" y="762000"/>
          <a:ext cx="288000" cy="288000"/>
        </a:xfrm>
        <a:prstGeom prst="rect">
          <a:avLst/>
        </a:prstGeom>
      </xdr:spPr>
    </xdr:pic>
    <xdr:clientData/>
  </xdr:twoCellAnchor>
  <xdr:twoCellAnchor>
    <xdr:from>
      <xdr:col>9</xdr:col>
      <xdr:colOff>78525</xdr:colOff>
      <xdr:row>2</xdr:row>
      <xdr:rowOff>166950</xdr:rowOff>
    </xdr:from>
    <xdr:to>
      <xdr:col>11</xdr:col>
      <xdr:colOff>390525</xdr:colOff>
      <xdr:row>5</xdr:row>
      <xdr:rowOff>171450</xdr:rowOff>
    </xdr:to>
    <xdr:grpSp>
      <xdr:nvGrpSpPr>
        <xdr:cNvPr id="61" name="Groupe 60">
          <a:extLst>
            <a:ext uri="{FF2B5EF4-FFF2-40B4-BE49-F238E27FC236}">
              <a16:creationId xmlns:a16="http://schemas.microsoft.com/office/drawing/2014/main" id="{67EF3987-A4C1-3C10-CC49-3BE4D128E0D3}"/>
            </a:ext>
          </a:extLst>
        </xdr:cNvPr>
        <xdr:cNvGrpSpPr/>
      </xdr:nvGrpSpPr>
      <xdr:grpSpPr>
        <a:xfrm>
          <a:off x="7155600" y="547950"/>
          <a:ext cx="1836000" cy="576000"/>
          <a:chOff x="6784125" y="519375"/>
          <a:chExt cx="1836000" cy="576000"/>
        </a:xfrm>
      </xdr:grpSpPr>
      <xdr:sp macro="" textlink="Traitement!A5">
        <xdr:nvSpPr>
          <xdr:cNvPr id="4" name="Rectangle : coins arrondis 3">
            <a:extLst>
              <a:ext uri="{FF2B5EF4-FFF2-40B4-BE49-F238E27FC236}">
                <a16:creationId xmlns:a16="http://schemas.microsoft.com/office/drawing/2014/main" id="{F9703FFA-AFDC-764D-EB4E-058E556F2E77}"/>
              </a:ext>
            </a:extLst>
          </xdr:cNvPr>
          <xdr:cNvSpPr/>
        </xdr:nvSpPr>
        <xdr:spPr>
          <a:xfrm>
            <a:off x="6784125" y="519375"/>
            <a:ext cx="1836000" cy="576000"/>
          </a:xfrm>
          <a:prstGeom prst="round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b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fld id="{A90F1552-FA3C-443D-AE68-48F3EC4767BB}" type="TxLink">
              <a:rPr lang="en-US" sz="1600" b="0" i="0" u="none" strike="noStrike">
                <a:solidFill>
                  <a:schemeClr val="bg1"/>
                </a:solidFill>
                <a:latin typeface="Aptos Black" panose="020B0004020202020204" pitchFamily="34" charset="0"/>
                <a:ea typeface="Calibri"/>
                <a:cs typeface="Calibri"/>
              </a:rPr>
              <a:pPr marL="0" indent="0" algn="l"/>
              <a:t>992</a:t>
            </a:fld>
            <a:endParaRPr lang="fr-FR" sz="1600" b="0" i="0" u="none" strike="noStrike">
              <a:solidFill>
                <a:schemeClr val="bg1"/>
              </a:solidFill>
              <a:latin typeface="Aptos Black" panose="020B0004020202020204" pitchFamily="34" charset="0"/>
              <a:ea typeface="Calibri"/>
              <a:cs typeface="Calibri"/>
            </a:endParaRP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EDED5653-85C4-0949-8B98-C8D3B661F6AE}"/>
              </a:ext>
            </a:extLst>
          </xdr:cNvPr>
          <xdr:cNvSpPr txBox="1"/>
        </xdr:nvSpPr>
        <xdr:spPr>
          <a:xfrm>
            <a:off x="6846569" y="542925"/>
            <a:ext cx="158305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 b="1">
                <a:solidFill>
                  <a:schemeClr val="bg1"/>
                </a:solidFill>
                <a:latin typeface="+mn-lt"/>
              </a:rPr>
              <a:t>Total des entrées</a:t>
            </a:r>
          </a:p>
        </xdr:txBody>
      </xdr:sp>
      <xdr:pic>
        <xdr:nvPicPr>
          <xdr:cNvPr id="28" name="Image 27">
            <a:extLst>
              <a:ext uri="{FF2B5EF4-FFF2-40B4-BE49-F238E27FC236}">
                <a16:creationId xmlns:a16="http://schemas.microsoft.com/office/drawing/2014/main" id="{F37C6500-D79E-D703-DD1E-30D452A05B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258175" y="762000"/>
            <a:ext cx="288000" cy="288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364275</xdr:colOff>
      <xdr:row>2</xdr:row>
      <xdr:rowOff>176475</xdr:rowOff>
    </xdr:from>
    <xdr:to>
      <xdr:col>8</xdr:col>
      <xdr:colOff>676275</xdr:colOff>
      <xdr:row>5</xdr:row>
      <xdr:rowOff>180975</xdr:rowOff>
    </xdr:to>
    <xdr:grpSp>
      <xdr:nvGrpSpPr>
        <xdr:cNvPr id="62" name="Groupe 61">
          <a:extLst>
            <a:ext uri="{FF2B5EF4-FFF2-40B4-BE49-F238E27FC236}">
              <a16:creationId xmlns:a16="http://schemas.microsoft.com/office/drawing/2014/main" id="{A0BF42F0-103C-49C2-711C-1DFCE85DB0B7}"/>
            </a:ext>
          </a:extLst>
        </xdr:cNvPr>
        <xdr:cNvGrpSpPr/>
      </xdr:nvGrpSpPr>
      <xdr:grpSpPr>
        <a:xfrm>
          <a:off x="5155350" y="557475"/>
          <a:ext cx="1836000" cy="576000"/>
          <a:chOff x="4802925" y="519375"/>
          <a:chExt cx="1836000" cy="576000"/>
        </a:xfrm>
      </xdr:grpSpPr>
      <xdr:sp macro="" textlink="Traitement!B2">
        <xdr:nvSpPr>
          <xdr:cNvPr id="3" name="Rectangle : coins arrondis 2">
            <a:extLst>
              <a:ext uri="{FF2B5EF4-FFF2-40B4-BE49-F238E27FC236}">
                <a16:creationId xmlns:a16="http://schemas.microsoft.com/office/drawing/2014/main" id="{BE38B91B-BF4C-DBBF-933B-EBBA51EED810}"/>
              </a:ext>
            </a:extLst>
          </xdr:cNvPr>
          <xdr:cNvSpPr/>
        </xdr:nvSpPr>
        <xdr:spPr>
          <a:xfrm>
            <a:off x="4802925" y="519375"/>
            <a:ext cx="1836000" cy="576000"/>
          </a:xfrm>
          <a:prstGeom prst="round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b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fld id="{310205EB-FE2A-4916-93D9-33BA08309F60}" type="TxLink">
              <a:rPr lang="en-US" sz="1600" b="0" i="0" u="none" strike="noStrike">
                <a:solidFill>
                  <a:schemeClr val="bg1"/>
                </a:solidFill>
                <a:latin typeface="Aptos Black" panose="020B0004020202020204" pitchFamily="34" charset="0"/>
                <a:ea typeface="Calibri"/>
                <a:cs typeface="Calibri"/>
              </a:rPr>
              <a:pPr marL="0" indent="0" algn="l"/>
              <a:t> 54 852,09 € </a:t>
            </a:fld>
            <a:endParaRPr lang="fr-FR" sz="1600" b="0" i="0" u="none" strike="noStrike">
              <a:solidFill>
                <a:schemeClr val="bg1"/>
              </a:solidFill>
              <a:latin typeface="Aptos Black" panose="020B0004020202020204" pitchFamily="34" charset="0"/>
              <a:ea typeface="Calibri"/>
              <a:cs typeface="Calibri"/>
            </a:endParaRP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402EBF5B-094F-5865-3921-EBC297E31446}"/>
              </a:ext>
            </a:extLst>
          </xdr:cNvPr>
          <xdr:cNvSpPr txBox="1"/>
        </xdr:nvSpPr>
        <xdr:spPr>
          <a:xfrm>
            <a:off x="4823459" y="542925"/>
            <a:ext cx="1120141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 b="1">
                <a:solidFill>
                  <a:schemeClr val="bg1"/>
                </a:solidFill>
                <a:latin typeface="+mn-lt"/>
              </a:rPr>
              <a:t>Valeur de stock</a:t>
            </a:r>
          </a:p>
        </xdr:txBody>
      </xdr:sp>
      <xdr:pic>
        <xdr:nvPicPr>
          <xdr:cNvPr id="29" name="Image 28">
            <a:extLst>
              <a:ext uri="{FF2B5EF4-FFF2-40B4-BE49-F238E27FC236}">
                <a16:creationId xmlns:a16="http://schemas.microsoft.com/office/drawing/2014/main" id="{979A6DFE-F016-9FDC-927E-D64B1630598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296025" y="762000"/>
            <a:ext cx="288000" cy="288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573825</xdr:colOff>
      <xdr:row>2</xdr:row>
      <xdr:rowOff>176475</xdr:rowOff>
    </xdr:from>
    <xdr:to>
      <xdr:col>14</xdr:col>
      <xdr:colOff>123825</xdr:colOff>
      <xdr:row>5</xdr:row>
      <xdr:rowOff>180975</xdr:rowOff>
    </xdr:to>
    <xdr:grpSp>
      <xdr:nvGrpSpPr>
        <xdr:cNvPr id="55" name="Groupe 54">
          <a:extLst>
            <a:ext uri="{FF2B5EF4-FFF2-40B4-BE49-F238E27FC236}">
              <a16:creationId xmlns:a16="http://schemas.microsoft.com/office/drawing/2014/main" id="{D69A7A43-7A6A-75C9-62DD-5A3493BE46DD}"/>
            </a:ext>
          </a:extLst>
        </xdr:cNvPr>
        <xdr:cNvGrpSpPr/>
      </xdr:nvGrpSpPr>
      <xdr:grpSpPr>
        <a:xfrm>
          <a:off x="9174900" y="557475"/>
          <a:ext cx="1836000" cy="576000"/>
          <a:chOff x="8955825" y="557475"/>
          <a:chExt cx="1836000" cy="576000"/>
        </a:xfrm>
      </xdr:grpSpPr>
      <xdr:sp macro="" textlink="Traitement!B5">
        <xdr:nvSpPr>
          <xdr:cNvPr id="5" name="Rectangle : coins arrondis 4">
            <a:extLst>
              <a:ext uri="{FF2B5EF4-FFF2-40B4-BE49-F238E27FC236}">
                <a16:creationId xmlns:a16="http://schemas.microsoft.com/office/drawing/2014/main" id="{FBF0C464-6C1C-E825-C0F8-33FE6A2CA7DB}"/>
              </a:ext>
            </a:extLst>
          </xdr:cNvPr>
          <xdr:cNvSpPr/>
        </xdr:nvSpPr>
        <xdr:spPr>
          <a:xfrm>
            <a:off x="8955825" y="557475"/>
            <a:ext cx="1836000" cy="576000"/>
          </a:xfrm>
          <a:prstGeom prst="round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b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fld id="{80108825-D256-4386-B807-C22B6C2D0D53}" type="TxLink">
              <a:rPr lang="en-US" sz="1600" b="0" i="0" u="none" strike="noStrike">
                <a:solidFill>
                  <a:schemeClr val="bg1"/>
                </a:solidFill>
                <a:latin typeface="Aptos Black" panose="020B0004020202020204" pitchFamily="34" charset="0"/>
                <a:ea typeface="Calibri"/>
                <a:cs typeface="Calibri"/>
              </a:rPr>
              <a:pPr marL="0" indent="0" algn="l"/>
              <a:t> 291 428,95 </a:t>
            </a:fld>
            <a:endParaRPr lang="fr-FR" sz="1600" b="0" i="0" u="none" strike="noStrike">
              <a:solidFill>
                <a:schemeClr val="bg1"/>
              </a:solidFill>
              <a:latin typeface="Aptos Black" panose="020B0004020202020204" pitchFamily="34" charset="0"/>
              <a:ea typeface="Calibri"/>
              <a:cs typeface="Calibri"/>
            </a:endParaRP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B1A2F8D2-1EE8-8257-8928-B4927CA77002}"/>
              </a:ext>
            </a:extLst>
          </xdr:cNvPr>
          <xdr:cNvSpPr txBox="1"/>
        </xdr:nvSpPr>
        <xdr:spPr>
          <a:xfrm>
            <a:off x="9003029" y="581025"/>
            <a:ext cx="167449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 b="1">
                <a:solidFill>
                  <a:schemeClr val="bg1"/>
                </a:solidFill>
                <a:latin typeface="+mn-lt"/>
              </a:rPr>
              <a:t>Valeur des entrées</a:t>
            </a:r>
          </a:p>
        </xdr:txBody>
      </xdr:sp>
      <xdr:pic>
        <xdr:nvPicPr>
          <xdr:cNvPr id="30" name="Image 29">
            <a:extLst>
              <a:ext uri="{FF2B5EF4-FFF2-40B4-BE49-F238E27FC236}">
                <a16:creationId xmlns:a16="http://schemas.microsoft.com/office/drawing/2014/main" id="{5B7D58CA-1B0E-C792-D691-D0A9DB26A4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448925" y="800100"/>
            <a:ext cx="288000" cy="288000"/>
          </a:xfrm>
          <a:prstGeom prst="rect">
            <a:avLst/>
          </a:prstGeom>
        </xdr:spPr>
      </xdr:pic>
    </xdr:grpSp>
    <xdr:clientData/>
  </xdr:twoCellAnchor>
  <xdr:twoCellAnchor editAs="oneCell">
    <xdr:from>
      <xdr:col>19</xdr:col>
      <xdr:colOff>28575</xdr:colOff>
      <xdr:row>3</xdr:row>
      <xdr:rowOff>171450</xdr:rowOff>
    </xdr:from>
    <xdr:to>
      <xdr:col>19</xdr:col>
      <xdr:colOff>316575</xdr:colOff>
      <xdr:row>5</xdr:row>
      <xdr:rowOff>78450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770F493A-9B5D-B5C6-6E1B-781E0E1AB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506575" y="742950"/>
          <a:ext cx="288000" cy="288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228600</xdr:colOff>
      <xdr:row>4</xdr:row>
      <xdr:rowOff>28575</xdr:rowOff>
    </xdr:from>
    <xdr:to>
      <xdr:col>16</xdr:col>
      <xdr:colOff>516600</xdr:colOff>
      <xdr:row>5</xdr:row>
      <xdr:rowOff>126075</xdr:rowOff>
    </xdr:to>
    <xdr:pic>
      <xdr:nvPicPr>
        <xdr:cNvPr id="32" name="Image 31">
          <a:extLst>
            <a:ext uri="{FF2B5EF4-FFF2-40B4-BE49-F238E27FC236}">
              <a16:creationId xmlns:a16="http://schemas.microsoft.com/office/drawing/2014/main" id="{4F510C09-2BF1-8978-6BF4-EB4A731B9E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420600" y="790575"/>
          <a:ext cx="288000" cy="288000"/>
        </a:xfrm>
        <a:prstGeom prst="rect">
          <a:avLst/>
        </a:prstGeom>
      </xdr:spPr>
    </xdr:pic>
    <xdr:clientData/>
  </xdr:twoCellAnchor>
  <xdr:twoCellAnchor>
    <xdr:from>
      <xdr:col>2</xdr:col>
      <xdr:colOff>678599</xdr:colOff>
      <xdr:row>7</xdr:row>
      <xdr:rowOff>95250</xdr:rowOff>
    </xdr:from>
    <xdr:to>
      <xdr:col>6</xdr:col>
      <xdr:colOff>648423</xdr:colOff>
      <xdr:row>15</xdr:row>
      <xdr:rowOff>161925</xdr:rowOff>
    </xdr:to>
    <xdr:graphicFrame macro="">
      <xdr:nvGraphicFramePr>
        <xdr:cNvPr id="33" name="Graphique 32">
          <a:extLst>
            <a:ext uri="{FF2B5EF4-FFF2-40B4-BE49-F238E27FC236}">
              <a16:creationId xmlns:a16="http://schemas.microsoft.com/office/drawing/2014/main" id="{7680C9CD-8F70-4689-8C61-16171FE485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666750</xdr:colOff>
      <xdr:row>7</xdr:row>
      <xdr:rowOff>77822</xdr:rowOff>
    </xdr:from>
    <xdr:to>
      <xdr:col>8</xdr:col>
      <xdr:colOff>744571</xdr:colOff>
      <xdr:row>15</xdr:row>
      <xdr:rowOff>182597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920B81BD-2FA2-451F-A9F8-D8D06285C4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105312</xdr:colOff>
      <xdr:row>8</xdr:row>
      <xdr:rowOff>135062</xdr:rowOff>
    </xdr:from>
    <xdr:to>
      <xdr:col>6</xdr:col>
      <xdr:colOff>124362</xdr:colOff>
      <xdr:row>14</xdr:row>
      <xdr:rowOff>96962</xdr:rowOff>
    </xdr:to>
    <xdr:cxnSp macro="">
      <xdr:nvCxnSpPr>
        <xdr:cNvPr id="44" name="Connecteur droit 43">
          <a:extLst>
            <a:ext uri="{FF2B5EF4-FFF2-40B4-BE49-F238E27FC236}">
              <a16:creationId xmlns:a16="http://schemas.microsoft.com/office/drawing/2014/main" id="{C97A8764-F425-4421-39ED-DB6ECAC8A155}"/>
            </a:ext>
          </a:extLst>
        </xdr:cNvPr>
        <xdr:cNvCxnSpPr/>
      </xdr:nvCxnSpPr>
      <xdr:spPr>
        <a:xfrm flipH="1">
          <a:off x="4664469" y="1676186"/>
          <a:ext cx="19050" cy="1117742"/>
        </a:xfrm>
        <a:prstGeom prst="line">
          <a:avLst/>
        </a:prstGeom>
        <a:ln w="127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697651</xdr:colOff>
      <xdr:row>7</xdr:row>
      <xdr:rowOff>117936</xdr:rowOff>
    </xdr:from>
    <xdr:to>
      <xdr:col>11</xdr:col>
      <xdr:colOff>619125</xdr:colOff>
      <xdr:row>15</xdr:row>
      <xdr:rowOff>142482</xdr:rowOff>
    </xdr:to>
    <xdr:graphicFrame macro="">
      <xdr:nvGraphicFramePr>
        <xdr:cNvPr id="52" name="Graphique 51">
          <a:extLst>
            <a:ext uri="{FF2B5EF4-FFF2-40B4-BE49-F238E27FC236}">
              <a16:creationId xmlns:a16="http://schemas.microsoft.com/office/drawing/2014/main" id="{687540BB-C67B-4C14-B807-D8910B1571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723900</xdr:colOff>
      <xdr:row>7</xdr:row>
      <xdr:rowOff>69262</xdr:rowOff>
    </xdr:from>
    <xdr:to>
      <xdr:col>14</xdr:col>
      <xdr:colOff>495300</xdr:colOff>
      <xdr:row>16</xdr:row>
      <xdr:rowOff>657</xdr:rowOff>
    </xdr:to>
    <xdr:graphicFrame macro="">
      <xdr:nvGraphicFramePr>
        <xdr:cNvPr id="54" name="Graphique 53">
          <a:extLst>
            <a:ext uri="{FF2B5EF4-FFF2-40B4-BE49-F238E27FC236}">
              <a16:creationId xmlns:a16="http://schemas.microsoft.com/office/drawing/2014/main" id="{161E6739-4D47-4865-97CA-B11486F70B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354750</xdr:colOff>
      <xdr:row>7</xdr:row>
      <xdr:rowOff>134372</xdr:rowOff>
    </xdr:from>
    <xdr:to>
      <xdr:col>19</xdr:col>
      <xdr:colOff>592876</xdr:colOff>
      <xdr:row>15</xdr:row>
      <xdr:rowOff>126047</xdr:rowOff>
    </xdr:to>
    <xdr:graphicFrame macro="">
      <xdr:nvGraphicFramePr>
        <xdr:cNvPr id="56" name="Graphique 55">
          <a:extLst>
            <a:ext uri="{FF2B5EF4-FFF2-40B4-BE49-F238E27FC236}">
              <a16:creationId xmlns:a16="http://schemas.microsoft.com/office/drawing/2014/main" id="{BE5BAE29-39D8-4C45-BF66-5AA0E8FB8E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561975</xdr:colOff>
      <xdr:row>7</xdr:row>
      <xdr:rowOff>139827</xdr:rowOff>
    </xdr:from>
    <xdr:to>
      <xdr:col>17</xdr:col>
      <xdr:colOff>194647</xdr:colOff>
      <xdr:row>15</xdr:row>
      <xdr:rowOff>120591</xdr:rowOff>
    </xdr:to>
    <xdr:graphicFrame macro="">
      <xdr:nvGraphicFramePr>
        <xdr:cNvPr id="57" name="Graphique 56">
          <a:extLst>
            <a:ext uri="{FF2B5EF4-FFF2-40B4-BE49-F238E27FC236}">
              <a16:creationId xmlns:a16="http://schemas.microsoft.com/office/drawing/2014/main" id="{8194A406-DE3D-4FD6-9F83-5B4A18B6D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695325</xdr:colOff>
      <xdr:row>9</xdr:row>
      <xdr:rowOff>38100</xdr:rowOff>
    </xdr:from>
    <xdr:to>
      <xdr:col>10</xdr:col>
      <xdr:colOff>689325</xdr:colOff>
      <xdr:row>13</xdr:row>
      <xdr:rowOff>32100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BEDC4F55-A2FA-1091-A19D-084AD8D04DFB}"/>
            </a:ext>
          </a:extLst>
        </xdr:cNvPr>
        <xdr:cNvGrpSpPr/>
      </xdr:nvGrpSpPr>
      <xdr:grpSpPr>
        <a:xfrm>
          <a:off x="7772400" y="1752600"/>
          <a:ext cx="756000" cy="756000"/>
          <a:chOff x="6400800" y="7543800"/>
          <a:chExt cx="756000" cy="756000"/>
        </a:xfrm>
      </xdr:grpSpPr>
      <xdr:sp macro="" textlink="">
        <xdr:nvSpPr>
          <xdr:cNvPr id="58" name="Ellipse 57">
            <a:extLst>
              <a:ext uri="{FF2B5EF4-FFF2-40B4-BE49-F238E27FC236}">
                <a16:creationId xmlns:a16="http://schemas.microsoft.com/office/drawing/2014/main" id="{7C3A8021-8A81-1795-ECE2-E11D8B6EF026}"/>
              </a:ext>
            </a:extLst>
          </xdr:cNvPr>
          <xdr:cNvSpPr/>
        </xdr:nvSpPr>
        <xdr:spPr>
          <a:xfrm>
            <a:off x="6400800" y="7543800"/>
            <a:ext cx="756000" cy="756000"/>
          </a:xfrm>
          <a:prstGeom prst="ellipse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DD0EF5DD-D4C8-45AC-99B8-EFDB8EE4285C}"/>
              </a:ext>
            </a:extLst>
          </xdr:cNvPr>
          <xdr:cNvSpPr txBox="1"/>
        </xdr:nvSpPr>
        <xdr:spPr>
          <a:xfrm>
            <a:off x="6400800" y="7648575"/>
            <a:ext cx="733425" cy="5350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1">
                <a:solidFill>
                  <a:sysClr val="windowText" lastClr="000000"/>
                </a:solidFill>
                <a:latin typeface="+mn-lt"/>
              </a:rPr>
              <a:t>Total des entrées</a:t>
            </a:r>
            <a:r>
              <a:rPr lang="fr-FR" sz="900" b="1" baseline="0">
                <a:solidFill>
                  <a:sysClr val="windowText" lastClr="000000"/>
                </a:solidFill>
                <a:latin typeface="+mn-lt"/>
              </a:rPr>
              <a:t> </a:t>
            </a:r>
            <a:r>
              <a:rPr lang="fr-FR" sz="900" b="1">
                <a:solidFill>
                  <a:sysClr val="windowText" lastClr="000000"/>
                </a:solidFill>
                <a:latin typeface="+mn-lt"/>
              </a:rPr>
              <a:t>par Catégorie</a:t>
            </a:r>
          </a:p>
        </xdr:txBody>
      </xdr:sp>
    </xdr:grpSp>
    <xdr:clientData/>
  </xdr:twoCellAnchor>
  <xdr:twoCellAnchor>
    <xdr:from>
      <xdr:col>12</xdr:col>
      <xdr:colOff>209550</xdr:colOff>
      <xdr:row>9</xdr:row>
      <xdr:rowOff>16053</xdr:rowOff>
    </xdr:from>
    <xdr:to>
      <xdr:col>13</xdr:col>
      <xdr:colOff>222600</xdr:colOff>
      <xdr:row>13</xdr:row>
      <xdr:rowOff>28575</xdr:rowOff>
    </xdr:to>
    <xdr:grpSp>
      <xdr:nvGrpSpPr>
        <xdr:cNvPr id="69" name="Groupe 68">
          <a:extLst>
            <a:ext uri="{FF2B5EF4-FFF2-40B4-BE49-F238E27FC236}">
              <a16:creationId xmlns:a16="http://schemas.microsoft.com/office/drawing/2014/main" id="{982F3085-B1AF-BA97-02BA-DA7FE1DB9B17}"/>
            </a:ext>
          </a:extLst>
        </xdr:cNvPr>
        <xdr:cNvGrpSpPr/>
      </xdr:nvGrpSpPr>
      <xdr:grpSpPr>
        <a:xfrm>
          <a:off x="9572625" y="1730553"/>
          <a:ext cx="775050" cy="774522"/>
          <a:chOff x="6362700" y="7505700"/>
          <a:chExt cx="756000" cy="756000"/>
        </a:xfrm>
      </xdr:grpSpPr>
      <xdr:sp macro="" textlink="">
        <xdr:nvSpPr>
          <xdr:cNvPr id="70" name="Ellipse 69">
            <a:extLst>
              <a:ext uri="{FF2B5EF4-FFF2-40B4-BE49-F238E27FC236}">
                <a16:creationId xmlns:a16="http://schemas.microsoft.com/office/drawing/2014/main" id="{53594DD1-D1E0-CD89-9F2B-3EDD7FFA9F85}"/>
              </a:ext>
            </a:extLst>
          </xdr:cNvPr>
          <xdr:cNvSpPr/>
        </xdr:nvSpPr>
        <xdr:spPr>
          <a:xfrm>
            <a:off x="6362700" y="7505700"/>
            <a:ext cx="756000" cy="756000"/>
          </a:xfrm>
          <a:prstGeom prst="ellipse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8A794402-5ED4-3C87-CAF1-432FF2F7D2A9}"/>
              </a:ext>
            </a:extLst>
          </xdr:cNvPr>
          <xdr:cNvSpPr txBox="1"/>
        </xdr:nvSpPr>
        <xdr:spPr>
          <a:xfrm>
            <a:off x="6362700" y="7648575"/>
            <a:ext cx="733425" cy="5350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1">
                <a:solidFill>
                  <a:sysClr val="windowText" lastClr="000000"/>
                </a:solidFill>
                <a:latin typeface="+mn-lt"/>
              </a:rPr>
              <a:t>Valeur des entrées</a:t>
            </a:r>
            <a:r>
              <a:rPr lang="fr-FR" sz="900" b="1" baseline="0">
                <a:solidFill>
                  <a:sysClr val="windowText" lastClr="000000"/>
                </a:solidFill>
                <a:latin typeface="+mn-lt"/>
              </a:rPr>
              <a:t> </a:t>
            </a:r>
            <a:r>
              <a:rPr lang="fr-FR" sz="900" b="1">
                <a:solidFill>
                  <a:sysClr val="windowText" lastClr="000000"/>
                </a:solidFill>
                <a:latin typeface="+mn-lt"/>
              </a:rPr>
              <a:t>par Catégorie</a:t>
            </a:r>
          </a:p>
        </xdr:txBody>
      </xdr:sp>
    </xdr:grpSp>
    <xdr:clientData/>
  </xdr:twoCellAnchor>
  <xdr:twoCellAnchor>
    <xdr:from>
      <xdr:col>14</xdr:col>
      <xdr:colOff>733416</xdr:colOff>
      <xdr:row>9</xdr:row>
      <xdr:rowOff>67852</xdr:rowOff>
    </xdr:from>
    <xdr:to>
      <xdr:col>15</xdr:col>
      <xdr:colOff>696455</xdr:colOff>
      <xdr:row>13</xdr:row>
      <xdr:rowOff>23752</xdr:rowOff>
    </xdr:to>
    <xdr:grpSp>
      <xdr:nvGrpSpPr>
        <xdr:cNvPr id="72" name="Groupe 71">
          <a:extLst>
            <a:ext uri="{FF2B5EF4-FFF2-40B4-BE49-F238E27FC236}">
              <a16:creationId xmlns:a16="http://schemas.microsoft.com/office/drawing/2014/main" id="{3510354D-6DD3-0CEE-7FFA-B135FD6AEA3E}"/>
            </a:ext>
          </a:extLst>
        </xdr:cNvPr>
        <xdr:cNvGrpSpPr/>
      </xdr:nvGrpSpPr>
      <xdr:grpSpPr>
        <a:xfrm>
          <a:off x="11620491" y="1782352"/>
          <a:ext cx="725039" cy="717900"/>
          <a:chOff x="6312545" y="7535793"/>
          <a:chExt cx="763519" cy="756000"/>
        </a:xfrm>
      </xdr:grpSpPr>
      <xdr:sp macro="" textlink="">
        <xdr:nvSpPr>
          <xdr:cNvPr id="73" name="Ellipse 72">
            <a:extLst>
              <a:ext uri="{FF2B5EF4-FFF2-40B4-BE49-F238E27FC236}">
                <a16:creationId xmlns:a16="http://schemas.microsoft.com/office/drawing/2014/main" id="{4268BC86-3713-884E-EECE-A1630921EE95}"/>
              </a:ext>
            </a:extLst>
          </xdr:cNvPr>
          <xdr:cNvSpPr/>
        </xdr:nvSpPr>
        <xdr:spPr>
          <a:xfrm>
            <a:off x="6312545" y="7535793"/>
            <a:ext cx="756000" cy="756000"/>
          </a:xfrm>
          <a:prstGeom prst="ellipse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4" name="ZoneTexte 73">
            <a:extLst>
              <a:ext uri="{FF2B5EF4-FFF2-40B4-BE49-F238E27FC236}">
                <a16:creationId xmlns:a16="http://schemas.microsoft.com/office/drawing/2014/main" id="{F001DFC9-1332-5801-2BE8-96E15EB572C8}"/>
              </a:ext>
            </a:extLst>
          </xdr:cNvPr>
          <xdr:cNvSpPr txBox="1"/>
        </xdr:nvSpPr>
        <xdr:spPr>
          <a:xfrm>
            <a:off x="6342639" y="7643005"/>
            <a:ext cx="733425" cy="63950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900" b="1">
                <a:solidFill>
                  <a:sysClr val="windowText" lastClr="000000"/>
                </a:solidFill>
                <a:latin typeface="+mn-lt"/>
              </a:rPr>
              <a:t>Total des sorties</a:t>
            </a:r>
            <a:r>
              <a:rPr lang="fr-FR" sz="900" b="1" baseline="0">
                <a:solidFill>
                  <a:sysClr val="windowText" lastClr="000000"/>
                </a:solidFill>
                <a:latin typeface="+mn-lt"/>
              </a:rPr>
              <a:t> </a:t>
            </a:r>
            <a:r>
              <a:rPr lang="fr-FR" sz="900" b="1">
                <a:solidFill>
                  <a:sysClr val="windowText" lastClr="000000"/>
                </a:solidFill>
                <a:latin typeface="+mn-lt"/>
              </a:rPr>
              <a:t>par Catégorie</a:t>
            </a:r>
          </a:p>
          <a:p>
            <a:pPr algn="ctr"/>
            <a:endParaRPr lang="fr-FR" sz="900" b="1">
              <a:solidFill>
                <a:sysClr val="windowText" lastClr="000000"/>
              </a:solidFill>
              <a:latin typeface="+mn-lt"/>
            </a:endParaRPr>
          </a:p>
        </xdr:txBody>
      </xdr:sp>
    </xdr:grpSp>
    <xdr:clientData/>
  </xdr:twoCellAnchor>
  <xdr:twoCellAnchor>
    <xdr:from>
      <xdr:col>17</xdr:col>
      <xdr:colOff>466725</xdr:colOff>
      <xdr:row>9</xdr:row>
      <xdr:rowOff>66675</xdr:rowOff>
    </xdr:from>
    <xdr:to>
      <xdr:col>18</xdr:col>
      <xdr:colOff>438150</xdr:colOff>
      <xdr:row>12</xdr:row>
      <xdr:rowOff>171450</xdr:rowOff>
    </xdr:to>
    <xdr:grpSp>
      <xdr:nvGrpSpPr>
        <xdr:cNvPr id="75" name="Groupe 74">
          <a:extLst>
            <a:ext uri="{FF2B5EF4-FFF2-40B4-BE49-F238E27FC236}">
              <a16:creationId xmlns:a16="http://schemas.microsoft.com/office/drawing/2014/main" id="{07048457-C061-6316-637E-E810649A8B11}"/>
            </a:ext>
          </a:extLst>
        </xdr:cNvPr>
        <xdr:cNvGrpSpPr/>
      </xdr:nvGrpSpPr>
      <xdr:grpSpPr>
        <a:xfrm>
          <a:off x="13639800" y="1781175"/>
          <a:ext cx="733425" cy="676275"/>
          <a:chOff x="6372225" y="7553325"/>
          <a:chExt cx="733425" cy="676275"/>
        </a:xfrm>
      </xdr:grpSpPr>
      <xdr:sp macro="" textlink="">
        <xdr:nvSpPr>
          <xdr:cNvPr id="76" name="Ellipse 75">
            <a:extLst>
              <a:ext uri="{FF2B5EF4-FFF2-40B4-BE49-F238E27FC236}">
                <a16:creationId xmlns:a16="http://schemas.microsoft.com/office/drawing/2014/main" id="{19710A5B-AB5D-2635-43B0-0D661A698A82}"/>
              </a:ext>
            </a:extLst>
          </xdr:cNvPr>
          <xdr:cNvSpPr/>
        </xdr:nvSpPr>
        <xdr:spPr>
          <a:xfrm>
            <a:off x="6410325" y="7553325"/>
            <a:ext cx="676275" cy="676275"/>
          </a:xfrm>
          <a:prstGeom prst="ellipse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7" name="ZoneTexte 76">
            <a:extLst>
              <a:ext uri="{FF2B5EF4-FFF2-40B4-BE49-F238E27FC236}">
                <a16:creationId xmlns:a16="http://schemas.microsoft.com/office/drawing/2014/main" id="{42BD5C7E-FBD6-DF26-D43C-5ECEDF54728E}"/>
              </a:ext>
            </a:extLst>
          </xdr:cNvPr>
          <xdr:cNvSpPr txBox="1"/>
        </xdr:nvSpPr>
        <xdr:spPr>
          <a:xfrm>
            <a:off x="6372225" y="7620000"/>
            <a:ext cx="733425" cy="5350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1">
                <a:solidFill>
                  <a:sysClr val="windowText" lastClr="000000"/>
                </a:solidFill>
                <a:latin typeface="+mn-lt"/>
              </a:rPr>
              <a:t>Valeur des</a:t>
            </a:r>
            <a:r>
              <a:rPr lang="fr-FR" sz="900" b="1" baseline="0">
                <a:solidFill>
                  <a:sysClr val="windowText" lastClr="000000"/>
                </a:solidFill>
                <a:latin typeface="+mn-lt"/>
              </a:rPr>
              <a:t> sorties </a:t>
            </a:r>
            <a:r>
              <a:rPr lang="fr-FR" sz="900" b="1">
                <a:solidFill>
                  <a:sysClr val="windowText" lastClr="000000"/>
                </a:solidFill>
                <a:latin typeface="+mn-lt"/>
              </a:rPr>
              <a:t>par Catégorie</a:t>
            </a:r>
          </a:p>
        </xdr:txBody>
      </xdr:sp>
    </xdr:grpSp>
    <xdr:clientData/>
  </xdr:twoCellAnchor>
  <xdr:twoCellAnchor>
    <xdr:from>
      <xdr:col>6</xdr:col>
      <xdr:colOff>709024</xdr:colOff>
      <xdr:row>9</xdr:row>
      <xdr:rowOff>10702</xdr:rowOff>
    </xdr:from>
    <xdr:to>
      <xdr:col>7</xdr:col>
      <xdr:colOff>703024</xdr:colOff>
      <xdr:row>13</xdr:row>
      <xdr:rowOff>2561</xdr:rowOff>
    </xdr:to>
    <xdr:grpSp>
      <xdr:nvGrpSpPr>
        <xdr:cNvPr id="78" name="Groupe 77">
          <a:extLst>
            <a:ext uri="{FF2B5EF4-FFF2-40B4-BE49-F238E27FC236}">
              <a16:creationId xmlns:a16="http://schemas.microsoft.com/office/drawing/2014/main" id="{56E9915A-FF82-BEF5-A925-F9658731CA44}"/>
            </a:ext>
          </a:extLst>
        </xdr:cNvPr>
        <xdr:cNvGrpSpPr/>
      </xdr:nvGrpSpPr>
      <xdr:grpSpPr>
        <a:xfrm>
          <a:off x="5500099" y="1725202"/>
          <a:ext cx="756000" cy="753859"/>
          <a:chOff x="6400800" y="7600950"/>
          <a:chExt cx="756000" cy="756000"/>
        </a:xfrm>
      </xdr:grpSpPr>
      <xdr:sp macro="" textlink="">
        <xdr:nvSpPr>
          <xdr:cNvPr id="79" name="Ellipse 78">
            <a:extLst>
              <a:ext uri="{FF2B5EF4-FFF2-40B4-BE49-F238E27FC236}">
                <a16:creationId xmlns:a16="http://schemas.microsoft.com/office/drawing/2014/main" id="{25CD97DB-89E9-8C0B-9283-76E03B839B85}"/>
              </a:ext>
            </a:extLst>
          </xdr:cNvPr>
          <xdr:cNvSpPr/>
        </xdr:nvSpPr>
        <xdr:spPr>
          <a:xfrm>
            <a:off x="6400800" y="7600950"/>
            <a:ext cx="756000" cy="756000"/>
          </a:xfrm>
          <a:prstGeom prst="ellipse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80" name="ZoneTexte 79">
            <a:extLst>
              <a:ext uri="{FF2B5EF4-FFF2-40B4-BE49-F238E27FC236}">
                <a16:creationId xmlns:a16="http://schemas.microsoft.com/office/drawing/2014/main" id="{862839FA-8F65-DB1B-7B4C-8AD37C225D46}"/>
              </a:ext>
            </a:extLst>
          </xdr:cNvPr>
          <xdr:cNvSpPr txBox="1"/>
        </xdr:nvSpPr>
        <xdr:spPr>
          <a:xfrm>
            <a:off x="6410325" y="7696200"/>
            <a:ext cx="733425" cy="5350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1">
                <a:solidFill>
                  <a:sysClr val="windowText" lastClr="000000"/>
                </a:solidFill>
                <a:latin typeface="+mn-lt"/>
              </a:rPr>
              <a:t>Valeur par Catégorie</a:t>
            </a:r>
          </a:p>
        </xdr:txBody>
      </xdr:sp>
    </xdr:grpSp>
    <xdr:clientData/>
  </xdr:twoCellAnchor>
  <xdr:twoCellAnchor>
    <xdr:from>
      <xdr:col>4</xdr:col>
      <xdr:colOff>304800</xdr:colOff>
      <xdr:row>9</xdr:row>
      <xdr:rowOff>19050</xdr:rowOff>
    </xdr:from>
    <xdr:to>
      <xdr:col>5</xdr:col>
      <xdr:colOff>298800</xdr:colOff>
      <xdr:row>13</xdr:row>
      <xdr:rowOff>13050</xdr:rowOff>
    </xdr:to>
    <xdr:grpSp>
      <xdr:nvGrpSpPr>
        <xdr:cNvPr id="83" name="Groupe 82">
          <a:extLst>
            <a:ext uri="{FF2B5EF4-FFF2-40B4-BE49-F238E27FC236}">
              <a16:creationId xmlns:a16="http://schemas.microsoft.com/office/drawing/2014/main" id="{72673ECB-8BA1-70FE-661D-3DB1C179AF35}"/>
            </a:ext>
          </a:extLst>
        </xdr:cNvPr>
        <xdr:cNvGrpSpPr/>
      </xdr:nvGrpSpPr>
      <xdr:grpSpPr>
        <a:xfrm>
          <a:off x="3571875" y="1733550"/>
          <a:ext cx="756000" cy="756000"/>
          <a:chOff x="6400800" y="7562850"/>
          <a:chExt cx="756000" cy="756000"/>
        </a:xfrm>
      </xdr:grpSpPr>
      <xdr:sp macro="" textlink="">
        <xdr:nvSpPr>
          <xdr:cNvPr id="84" name="Ellipse 83">
            <a:extLst>
              <a:ext uri="{FF2B5EF4-FFF2-40B4-BE49-F238E27FC236}">
                <a16:creationId xmlns:a16="http://schemas.microsoft.com/office/drawing/2014/main" id="{927B20D8-B0AE-9D1D-81C1-48EE4109103C}"/>
              </a:ext>
            </a:extLst>
          </xdr:cNvPr>
          <xdr:cNvSpPr/>
        </xdr:nvSpPr>
        <xdr:spPr>
          <a:xfrm>
            <a:off x="6400800" y="7562850"/>
            <a:ext cx="756000" cy="756000"/>
          </a:xfrm>
          <a:prstGeom prst="ellipse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0</a:t>
            </a:r>
          </a:p>
        </xdr:txBody>
      </xdr:sp>
      <xdr:sp macro="" textlink="">
        <xdr:nvSpPr>
          <xdr:cNvPr id="85" name="ZoneTexte 84">
            <a:extLst>
              <a:ext uri="{FF2B5EF4-FFF2-40B4-BE49-F238E27FC236}">
                <a16:creationId xmlns:a16="http://schemas.microsoft.com/office/drawing/2014/main" id="{17A47ADC-96A5-96D1-BD2F-532F61C3921C}"/>
              </a:ext>
            </a:extLst>
          </xdr:cNvPr>
          <xdr:cNvSpPr txBox="1"/>
        </xdr:nvSpPr>
        <xdr:spPr>
          <a:xfrm>
            <a:off x="6400800" y="7648575"/>
            <a:ext cx="733425" cy="5350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1">
                <a:solidFill>
                  <a:sysClr val="windowText" lastClr="000000"/>
                </a:solidFill>
                <a:latin typeface="+mn-lt"/>
              </a:rPr>
              <a:t>Total par Catégorie</a:t>
            </a:r>
          </a:p>
        </xdr:txBody>
      </xdr:sp>
    </xdr:grpSp>
    <xdr:clientData/>
  </xdr:twoCellAnchor>
  <xdr:twoCellAnchor>
    <xdr:from>
      <xdr:col>11</xdr:col>
      <xdr:colOff>485775</xdr:colOff>
      <xdr:row>8</xdr:row>
      <xdr:rowOff>76200</xdr:rowOff>
    </xdr:from>
    <xdr:to>
      <xdr:col>11</xdr:col>
      <xdr:colOff>504825</xdr:colOff>
      <xdr:row>14</xdr:row>
      <xdr:rowOff>38100</xdr:rowOff>
    </xdr:to>
    <xdr:cxnSp macro="">
      <xdr:nvCxnSpPr>
        <xdr:cNvPr id="86" name="Connecteur droit 85">
          <a:extLst>
            <a:ext uri="{FF2B5EF4-FFF2-40B4-BE49-F238E27FC236}">
              <a16:creationId xmlns:a16="http://schemas.microsoft.com/office/drawing/2014/main" id="{F95A7339-3E2A-4317-A062-16B1FAEB8C08}"/>
            </a:ext>
          </a:extLst>
        </xdr:cNvPr>
        <xdr:cNvCxnSpPr/>
      </xdr:nvCxnSpPr>
      <xdr:spPr>
        <a:xfrm flipH="1">
          <a:off x="8867775" y="1600200"/>
          <a:ext cx="19050" cy="1104900"/>
        </a:xfrm>
        <a:prstGeom prst="line">
          <a:avLst/>
        </a:prstGeom>
        <a:ln w="127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316570</xdr:colOff>
      <xdr:row>8</xdr:row>
      <xdr:rowOff>76200</xdr:rowOff>
    </xdr:from>
    <xdr:to>
      <xdr:col>14</xdr:col>
      <xdr:colOff>335620</xdr:colOff>
      <xdr:row>14</xdr:row>
      <xdr:rowOff>38100</xdr:rowOff>
    </xdr:to>
    <xdr:cxnSp macro="">
      <xdr:nvCxnSpPr>
        <xdr:cNvPr id="87" name="Connecteur droit 86">
          <a:extLst>
            <a:ext uri="{FF2B5EF4-FFF2-40B4-BE49-F238E27FC236}">
              <a16:creationId xmlns:a16="http://schemas.microsoft.com/office/drawing/2014/main" id="{98B794A9-68D0-E326-A778-4B9313348533}"/>
            </a:ext>
          </a:extLst>
        </xdr:cNvPr>
        <xdr:cNvCxnSpPr/>
      </xdr:nvCxnSpPr>
      <xdr:spPr>
        <a:xfrm flipH="1">
          <a:off x="10954604" y="1617324"/>
          <a:ext cx="19050" cy="1117742"/>
        </a:xfrm>
        <a:prstGeom prst="line">
          <a:avLst/>
        </a:prstGeom>
        <a:ln w="127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638175</xdr:colOff>
      <xdr:row>8</xdr:row>
      <xdr:rowOff>76200</xdr:rowOff>
    </xdr:from>
    <xdr:to>
      <xdr:col>16</xdr:col>
      <xdr:colOff>657225</xdr:colOff>
      <xdr:row>14</xdr:row>
      <xdr:rowOff>38100</xdr:rowOff>
    </xdr:to>
    <xdr:cxnSp macro="">
      <xdr:nvCxnSpPr>
        <xdr:cNvPr id="88" name="Connecteur droit 87">
          <a:extLst>
            <a:ext uri="{FF2B5EF4-FFF2-40B4-BE49-F238E27FC236}">
              <a16:creationId xmlns:a16="http://schemas.microsoft.com/office/drawing/2014/main" id="{B1DA4890-D31B-4950-5A9C-5D79556B4212}"/>
            </a:ext>
          </a:extLst>
        </xdr:cNvPr>
        <xdr:cNvCxnSpPr/>
      </xdr:nvCxnSpPr>
      <xdr:spPr>
        <a:xfrm flipH="1">
          <a:off x="12830175" y="1600200"/>
          <a:ext cx="19050" cy="1104900"/>
        </a:xfrm>
        <a:prstGeom prst="line">
          <a:avLst/>
        </a:prstGeom>
        <a:ln w="127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221399</xdr:colOff>
      <xdr:row>18</xdr:row>
      <xdr:rowOff>114300</xdr:rowOff>
    </xdr:from>
    <xdr:to>
      <xdr:col>14</xdr:col>
      <xdr:colOff>88049</xdr:colOff>
      <xdr:row>25</xdr:row>
      <xdr:rowOff>39314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7FDDFF0B-CD59-4319-BFDD-6C6B0414DD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411900</xdr:colOff>
      <xdr:row>18</xdr:row>
      <xdr:rowOff>76199</xdr:rowOff>
    </xdr:from>
    <xdr:to>
      <xdr:col>19</xdr:col>
      <xdr:colOff>281890</xdr:colOff>
      <xdr:row>24</xdr:row>
      <xdr:rowOff>133350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61A5EB45-0A57-4654-848D-813693EEE1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200024</xdr:colOff>
      <xdr:row>17</xdr:row>
      <xdr:rowOff>9525</xdr:rowOff>
    </xdr:from>
    <xdr:to>
      <xdr:col>12</xdr:col>
      <xdr:colOff>266699</xdr:colOff>
      <xdr:row>18</xdr:row>
      <xdr:rowOff>76200</xdr:rowOff>
    </xdr:to>
    <xdr:sp macro="" textlink="">
      <xdr:nvSpPr>
        <xdr:cNvPr id="13" name="ZoneTexte 12">
          <a:extLst>
            <a:ext uri="{FF2B5EF4-FFF2-40B4-BE49-F238E27FC236}">
              <a16:creationId xmlns:a16="http://schemas.microsoft.com/office/drawing/2014/main" id="{4E09C409-0CAB-AC59-CEC4-E3AAF44A7F50}"/>
            </a:ext>
          </a:extLst>
        </xdr:cNvPr>
        <xdr:cNvSpPr txBox="1"/>
      </xdr:nvSpPr>
      <xdr:spPr>
        <a:xfrm>
          <a:off x="7058024" y="3248025"/>
          <a:ext cx="23526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ysClr val="windowText" lastClr="000000"/>
              </a:solidFill>
              <a:latin typeface="+mn-lt"/>
            </a:rPr>
            <a:t>Total des entrées</a:t>
          </a:r>
          <a:r>
            <a:rPr lang="fr-FR" sz="1100" b="1" baseline="0">
              <a:solidFill>
                <a:sysClr val="windowText" lastClr="000000"/>
              </a:solidFill>
              <a:latin typeface="+mn-lt"/>
            </a:rPr>
            <a:t> par mois</a:t>
          </a:r>
          <a:endParaRPr lang="fr-FR" sz="11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14</xdr:col>
      <xdr:colOff>342899</xdr:colOff>
      <xdr:row>16</xdr:row>
      <xdr:rowOff>180975</xdr:rowOff>
    </xdr:from>
    <xdr:to>
      <xdr:col>17</xdr:col>
      <xdr:colOff>409574</xdr:colOff>
      <xdr:row>18</xdr:row>
      <xdr:rowOff>57150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C1FEDF81-D5BA-4CEB-13A2-B4F6C13D4043}"/>
            </a:ext>
          </a:extLst>
        </xdr:cNvPr>
        <xdr:cNvSpPr txBox="1"/>
      </xdr:nvSpPr>
      <xdr:spPr>
        <a:xfrm>
          <a:off x="11010899" y="3228975"/>
          <a:ext cx="23526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ysClr val="windowText" lastClr="000000"/>
              </a:solidFill>
              <a:latin typeface="+mn-lt"/>
            </a:rPr>
            <a:t>Total des sorties</a:t>
          </a:r>
          <a:r>
            <a:rPr lang="fr-FR" sz="1100" b="1" baseline="0">
              <a:solidFill>
                <a:sysClr val="windowText" lastClr="000000"/>
              </a:solidFill>
              <a:latin typeface="+mn-lt"/>
            </a:rPr>
            <a:t> par mois</a:t>
          </a:r>
          <a:endParaRPr lang="fr-FR" sz="11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9</xdr:col>
      <xdr:colOff>228599</xdr:colOff>
      <xdr:row>26</xdr:row>
      <xdr:rowOff>152400</xdr:rowOff>
    </xdr:from>
    <xdr:to>
      <xdr:col>12</xdr:col>
      <xdr:colOff>295274</xdr:colOff>
      <xdr:row>28</xdr:row>
      <xdr:rowOff>28575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79160AF0-1757-ED76-4711-DCB2CCA7523C}"/>
            </a:ext>
          </a:extLst>
        </xdr:cNvPr>
        <xdr:cNvSpPr txBox="1"/>
      </xdr:nvSpPr>
      <xdr:spPr>
        <a:xfrm>
          <a:off x="7086599" y="5105400"/>
          <a:ext cx="23526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ysClr val="windowText" lastClr="000000"/>
              </a:solidFill>
              <a:latin typeface="+mn-lt"/>
            </a:rPr>
            <a:t>Valeur des entrées</a:t>
          </a:r>
          <a:r>
            <a:rPr lang="fr-FR" sz="1100" b="1" baseline="0">
              <a:solidFill>
                <a:sysClr val="windowText" lastClr="000000"/>
              </a:solidFill>
              <a:latin typeface="+mn-lt"/>
            </a:rPr>
            <a:t> par mois</a:t>
          </a:r>
          <a:endParaRPr lang="fr-FR" sz="11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14</xdr:col>
      <xdr:colOff>428624</xdr:colOff>
      <xdr:row>26</xdr:row>
      <xdr:rowOff>152400</xdr:rowOff>
    </xdr:from>
    <xdr:to>
      <xdr:col>17</xdr:col>
      <xdr:colOff>495299</xdr:colOff>
      <xdr:row>28</xdr:row>
      <xdr:rowOff>28575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54BD3B20-4826-F41F-3ADC-F3DC453ECD02}"/>
            </a:ext>
          </a:extLst>
        </xdr:cNvPr>
        <xdr:cNvSpPr txBox="1"/>
      </xdr:nvSpPr>
      <xdr:spPr>
        <a:xfrm>
          <a:off x="11096624" y="5105400"/>
          <a:ext cx="23526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ysClr val="windowText" lastClr="000000"/>
              </a:solidFill>
              <a:latin typeface="+mn-lt"/>
            </a:rPr>
            <a:t>Valeur des sorties</a:t>
          </a:r>
          <a:r>
            <a:rPr lang="fr-FR" sz="1100" b="1" baseline="0">
              <a:solidFill>
                <a:sysClr val="windowText" lastClr="000000"/>
              </a:solidFill>
              <a:latin typeface="+mn-lt"/>
            </a:rPr>
            <a:t> par mois</a:t>
          </a:r>
          <a:endParaRPr lang="fr-FR" sz="11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9</xdr:col>
      <xdr:colOff>297599</xdr:colOff>
      <xdr:row>28</xdr:row>
      <xdr:rowOff>95250</xdr:rowOff>
    </xdr:from>
    <xdr:to>
      <xdr:col>14</xdr:col>
      <xdr:colOff>304800</xdr:colOff>
      <xdr:row>35</xdr:row>
      <xdr:rowOff>24074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3D842D66-4240-4F2D-930F-2251E4A21E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14</xdr:col>
      <xdr:colOff>326174</xdr:colOff>
      <xdr:row>29</xdr:row>
      <xdr:rowOff>57150</xdr:rowOff>
    </xdr:from>
    <xdr:to>
      <xdr:col>19</xdr:col>
      <xdr:colOff>133350</xdr:colOff>
      <xdr:row>34</xdr:row>
      <xdr:rowOff>157424</xdr:rowOff>
    </xdr:to>
    <xdr:graphicFrame macro="">
      <xdr:nvGraphicFramePr>
        <xdr:cNvPr id="38" name="Graphique 37">
          <a:extLst>
            <a:ext uri="{FF2B5EF4-FFF2-40B4-BE49-F238E27FC236}">
              <a16:creationId xmlns:a16="http://schemas.microsoft.com/office/drawing/2014/main" id="{5366625C-D242-4319-8B1F-D2793638AA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</xdr:col>
      <xdr:colOff>650024</xdr:colOff>
      <xdr:row>18</xdr:row>
      <xdr:rowOff>114301</xdr:rowOff>
    </xdr:from>
    <xdr:to>
      <xdr:col>8</xdr:col>
      <xdr:colOff>695325</xdr:colOff>
      <xdr:row>25</xdr:row>
      <xdr:rowOff>76200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E27A322F-D027-433A-AF12-57A1A41B8F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</xdr:col>
      <xdr:colOff>666749</xdr:colOff>
      <xdr:row>17</xdr:row>
      <xdr:rowOff>9525</xdr:rowOff>
    </xdr:from>
    <xdr:to>
      <xdr:col>6</xdr:col>
      <xdr:colOff>733424</xdr:colOff>
      <xdr:row>18</xdr:row>
      <xdr:rowOff>76200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9A332718-7A55-00BE-740A-B10BFF8DA4DD}"/>
            </a:ext>
          </a:extLst>
        </xdr:cNvPr>
        <xdr:cNvSpPr txBox="1"/>
      </xdr:nvSpPr>
      <xdr:spPr>
        <a:xfrm>
          <a:off x="2952749" y="3248025"/>
          <a:ext cx="23526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ysClr val="windowText" lastClr="000000"/>
              </a:solidFill>
              <a:latin typeface="+mn-lt"/>
            </a:rPr>
            <a:t>Top 3</a:t>
          </a:r>
          <a:r>
            <a:rPr lang="fr-FR" sz="1100" b="1" baseline="0">
              <a:solidFill>
                <a:sysClr val="windowText" lastClr="000000"/>
              </a:solidFill>
              <a:latin typeface="+mn-lt"/>
            </a:rPr>
            <a:t> des marchandises</a:t>
          </a:r>
          <a:endParaRPr lang="fr-FR" sz="11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3</xdr:col>
      <xdr:colOff>704850</xdr:colOff>
      <xdr:row>28</xdr:row>
      <xdr:rowOff>152400</xdr:rowOff>
    </xdr:from>
    <xdr:to>
      <xdr:col>5</xdr:col>
      <xdr:colOff>676275</xdr:colOff>
      <xdr:row>30</xdr:row>
      <xdr:rowOff>28575</xdr:rowOff>
    </xdr:to>
    <xdr:sp macro="" textlink="Traitement!D95">
      <xdr:nvSpPr>
        <xdr:cNvPr id="41" name="ZoneTexte 40">
          <a:extLst>
            <a:ext uri="{FF2B5EF4-FFF2-40B4-BE49-F238E27FC236}">
              <a16:creationId xmlns:a16="http://schemas.microsoft.com/office/drawing/2014/main" id="{47AEC574-204A-FDA5-DF16-02C0B5E12138}"/>
            </a:ext>
          </a:extLst>
        </xdr:cNvPr>
        <xdr:cNvSpPr txBox="1"/>
      </xdr:nvSpPr>
      <xdr:spPr>
        <a:xfrm>
          <a:off x="2990850" y="5486400"/>
          <a:ext cx="149542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1EEB42A-E2C8-477F-800C-4C68019DD1A4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Cuisinière CANDY</a:t>
          </a:fld>
          <a:endParaRPr lang="fr-FR" sz="11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3</xdr:col>
      <xdr:colOff>704850</xdr:colOff>
      <xdr:row>30</xdr:row>
      <xdr:rowOff>142875</xdr:rowOff>
    </xdr:from>
    <xdr:to>
      <xdr:col>5</xdr:col>
      <xdr:colOff>609600</xdr:colOff>
      <xdr:row>32</xdr:row>
      <xdr:rowOff>19050</xdr:rowOff>
    </xdr:to>
    <xdr:sp macro="" textlink="Traitement!D96">
      <xdr:nvSpPr>
        <xdr:cNvPr id="42" name="ZoneTexte 41">
          <a:extLst>
            <a:ext uri="{FF2B5EF4-FFF2-40B4-BE49-F238E27FC236}">
              <a16:creationId xmlns:a16="http://schemas.microsoft.com/office/drawing/2014/main" id="{6FD3FE21-9536-DC31-01E1-10C697F12499}"/>
            </a:ext>
          </a:extLst>
        </xdr:cNvPr>
        <xdr:cNvSpPr txBox="1"/>
      </xdr:nvSpPr>
      <xdr:spPr>
        <a:xfrm>
          <a:off x="2990850" y="5857875"/>
          <a:ext cx="14287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CE79287-8895-4F38-8139-C7F83AA4FAAB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NINTENDO SWITCH</a:t>
          </a:fld>
          <a:endParaRPr lang="fr-FR" sz="11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3</xdr:col>
      <xdr:colOff>704850</xdr:colOff>
      <xdr:row>32</xdr:row>
      <xdr:rowOff>152400</xdr:rowOff>
    </xdr:from>
    <xdr:to>
      <xdr:col>6</xdr:col>
      <xdr:colOff>142876</xdr:colOff>
      <xdr:row>34</xdr:row>
      <xdr:rowOff>28575</xdr:rowOff>
    </xdr:to>
    <xdr:sp macro="" textlink="Traitement!D97">
      <xdr:nvSpPr>
        <xdr:cNvPr id="43" name="ZoneTexte 42">
          <a:extLst>
            <a:ext uri="{FF2B5EF4-FFF2-40B4-BE49-F238E27FC236}">
              <a16:creationId xmlns:a16="http://schemas.microsoft.com/office/drawing/2014/main" id="{06D65BA7-0EAA-2455-02BD-4481E4F62C27}"/>
            </a:ext>
          </a:extLst>
        </xdr:cNvPr>
        <xdr:cNvSpPr txBox="1"/>
      </xdr:nvSpPr>
      <xdr:spPr>
        <a:xfrm>
          <a:off x="2990850" y="6248400"/>
          <a:ext cx="1724026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8DC4BDF-7A09-4E40-89AA-BBDFD831FAC7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Réfrigérateur WHIRLPOOL</a:t>
          </a:fld>
          <a:endParaRPr lang="fr-FR" sz="11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6</xdr:col>
      <xdr:colOff>266700</xdr:colOff>
      <xdr:row>28</xdr:row>
      <xdr:rowOff>123825</xdr:rowOff>
    </xdr:from>
    <xdr:to>
      <xdr:col>8</xdr:col>
      <xdr:colOff>542925</xdr:colOff>
      <xdr:row>30</xdr:row>
      <xdr:rowOff>57150</xdr:rowOff>
    </xdr:to>
    <xdr:sp macro="" textlink="Traitement!F95">
      <xdr:nvSpPr>
        <xdr:cNvPr id="45" name="Rectangle : coins arrondis 44">
          <a:extLst>
            <a:ext uri="{FF2B5EF4-FFF2-40B4-BE49-F238E27FC236}">
              <a16:creationId xmlns:a16="http://schemas.microsoft.com/office/drawing/2014/main" id="{FC559825-FC8C-3E7B-1C01-4DE51CFBEE32}"/>
            </a:ext>
          </a:extLst>
        </xdr:cNvPr>
        <xdr:cNvSpPr/>
      </xdr:nvSpPr>
      <xdr:spPr>
        <a:xfrm>
          <a:off x="4838700" y="5457825"/>
          <a:ext cx="1800225" cy="314325"/>
        </a:xfrm>
        <a:prstGeom prst="roundRect">
          <a:avLst/>
        </a:prstGeom>
        <a:solidFill>
          <a:srgbClr val="FFF6E0"/>
        </a:solidFill>
        <a:ln w="28575"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E7FE612-E169-48F7-9717-1ACE98C8A756}" type="TxLink">
            <a:rPr lang="en-US" sz="9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ctr"/>
            <a:t>Non disponible</a:t>
          </a:fld>
          <a:endParaRPr lang="fr-FR" sz="9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6</xdr:col>
      <xdr:colOff>247650</xdr:colOff>
      <xdr:row>30</xdr:row>
      <xdr:rowOff>114300</xdr:rowOff>
    </xdr:from>
    <xdr:to>
      <xdr:col>8</xdr:col>
      <xdr:colOff>523875</xdr:colOff>
      <xdr:row>32</xdr:row>
      <xdr:rowOff>47625</xdr:rowOff>
    </xdr:to>
    <xdr:sp macro="" textlink="Traitement!F96">
      <xdr:nvSpPr>
        <xdr:cNvPr id="46" name="Rectangle : coins arrondis 45">
          <a:extLst>
            <a:ext uri="{FF2B5EF4-FFF2-40B4-BE49-F238E27FC236}">
              <a16:creationId xmlns:a16="http://schemas.microsoft.com/office/drawing/2014/main" id="{57584E25-4CA5-F93C-836F-9F348A063401}"/>
            </a:ext>
          </a:extLst>
        </xdr:cNvPr>
        <xdr:cNvSpPr/>
      </xdr:nvSpPr>
      <xdr:spPr>
        <a:xfrm>
          <a:off x="4819650" y="5829300"/>
          <a:ext cx="1800225" cy="314325"/>
        </a:xfrm>
        <a:prstGeom prst="roundRect">
          <a:avLst/>
        </a:prstGeom>
        <a:solidFill>
          <a:srgbClr val="FFF6E0"/>
        </a:solidFill>
        <a:ln w="28575"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1D555B4-AC9E-40FA-99AA-5707C37E2130}" type="TxLink">
            <a:rPr lang="en-US" sz="9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ctr"/>
            <a:t>Stock faible</a:t>
          </a:fld>
          <a:endParaRPr lang="fr-FR" sz="9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6</xdr:col>
      <xdr:colOff>219075</xdr:colOff>
      <xdr:row>32</xdr:row>
      <xdr:rowOff>114300</xdr:rowOff>
    </xdr:from>
    <xdr:to>
      <xdr:col>8</xdr:col>
      <xdr:colOff>495300</xdr:colOff>
      <xdr:row>34</xdr:row>
      <xdr:rowOff>47625</xdr:rowOff>
    </xdr:to>
    <xdr:sp macro="" textlink="Traitement!F97">
      <xdr:nvSpPr>
        <xdr:cNvPr id="47" name="Rectangle : coins arrondis 46">
          <a:extLst>
            <a:ext uri="{FF2B5EF4-FFF2-40B4-BE49-F238E27FC236}">
              <a16:creationId xmlns:a16="http://schemas.microsoft.com/office/drawing/2014/main" id="{BB50A47B-8495-AF82-7CAD-5ED52E75039C}"/>
            </a:ext>
          </a:extLst>
        </xdr:cNvPr>
        <xdr:cNvSpPr/>
      </xdr:nvSpPr>
      <xdr:spPr>
        <a:xfrm>
          <a:off x="4791075" y="6210300"/>
          <a:ext cx="1800225" cy="314325"/>
        </a:xfrm>
        <a:prstGeom prst="roundRect">
          <a:avLst/>
        </a:prstGeom>
        <a:solidFill>
          <a:srgbClr val="FFF6E0"/>
        </a:solidFill>
        <a:ln w="28575"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81875B1-FB1E-4D78-90A8-918E1987DF7A}" type="TxLink">
            <a:rPr lang="en-US" sz="9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ctr"/>
            <a:t>Stock faible</a:t>
          </a:fld>
          <a:endParaRPr lang="fr-FR" sz="9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3</xdr:col>
      <xdr:colOff>590549</xdr:colOff>
      <xdr:row>26</xdr:row>
      <xdr:rowOff>152400</xdr:rowOff>
    </xdr:from>
    <xdr:to>
      <xdr:col>6</xdr:col>
      <xdr:colOff>657224</xdr:colOff>
      <xdr:row>28</xdr:row>
      <xdr:rowOff>28575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BEF4E6CE-ACBA-646F-741F-FFF0917FDFE8}"/>
            </a:ext>
          </a:extLst>
        </xdr:cNvPr>
        <xdr:cNvSpPr txBox="1"/>
      </xdr:nvSpPr>
      <xdr:spPr>
        <a:xfrm>
          <a:off x="2876549" y="5105400"/>
          <a:ext cx="23526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 baseline="0">
              <a:solidFill>
                <a:sysClr val="windowText" lastClr="000000"/>
              </a:solidFill>
              <a:latin typeface="+mn-lt"/>
            </a:rPr>
            <a:t>Marchandise à approvisionner</a:t>
          </a:r>
          <a:endParaRPr lang="fr-FR" sz="11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 editAs="oneCell">
    <xdr:from>
      <xdr:col>0</xdr:col>
      <xdr:colOff>47625</xdr:colOff>
      <xdr:row>21</xdr:row>
      <xdr:rowOff>142875</xdr:rowOff>
    </xdr:from>
    <xdr:to>
      <xdr:col>1</xdr:col>
      <xdr:colOff>941625</xdr:colOff>
      <xdr:row>29</xdr:row>
      <xdr:rowOff>133350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9" name="Catégories 1">
              <a:extLst>
                <a:ext uri="{FF2B5EF4-FFF2-40B4-BE49-F238E27FC236}">
                  <a16:creationId xmlns:a16="http://schemas.microsoft.com/office/drawing/2014/main" id="{BA23DF76-02E5-4E72-82F7-AED9AD12EEC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s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625" y="4143375"/>
              <a:ext cx="1656000" cy="1514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47625</xdr:colOff>
      <xdr:row>30</xdr:row>
      <xdr:rowOff>104775</xdr:rowOff>
    </xdr:from>
    <xdr:to>
      <xdr:col>1</xdr:col>
      <xdr:colOff>941625</xdr:colOff>
      <xdr:row>58</xdr:row>
      <xdr:rowOff>38100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0" name="Références 1">
              <a:extLst>
                <a:ext uri="{FF2B5EF4-FFF2-40B4-BE49-F238E27FC236}">
                  <a16:creationId xmlns:a16="http://schemas.microsoft.com/office/drawing/2014/main" id="{421BB07F-32CB-4113-B044-D05F22F297F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éférences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625" y="5819775"/>
              <a:ext cx="1656000" cy="1619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47625</xdr:colOff>
      <xdr:row>14</xdr:row>
      <xdr:rowOff>76200</xdr:rowOff>
    </xdr:from>
    <xdr:to>
      <xdr:col>1</xdr:col>
      <xdr:colOff>941625</xdr:colOff>
      <xdr:row>21</xdr:row>
      <xdr:rowOff>9525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1" name="Mois 1">
              <a:extLst>
                <a:ext uri="{FF2B5EF4-FFF2-40B4-BE49-F238E27FC236}">
                  <a16:creationId xmlns:a16="http://schemas.microsoft.com/office/drawing/2014/main" id="{5D634E62-3604-4E16-87EA-5F2CF50D73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625" y="2743200"/>
              <a:ext cx="1656000" cy="12668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114300</xdr:colOff>
      <xdr:row>21</xdr:row>
      <xdr:rowOff>47625</xdr:rowOff>
    </xdr:from>
    <xdr:to>
      <xdr:col>1</xdr:col>
      <xdr:colOff>828675</xdr:colOff>
      <xdr:row>21</xdr:row>
      <xdr:rowOff>47625</xdr:rowOff>
    </xdr:to>
    <xdr:cxnSp macro="">
      <xdr:nvCxnSpPr>
        <xdr:cNvPr id="63" name="Connecteur droit 62">
          <a:extLst>
            <a:ext uri="{FF2B5EF4-FFF2-40B4-BE49-F238E27FC236}">
              <a16:creationId xmlns:a16="http://schemas.microsoft.com/office/drawing/2014/main" id="{FA24F416-5479-4C34-9DD9-A9316C39D733}"/>
            </a:ext>
          </a:extLst>
        </xdr:cNvPr>
        <xdr:cNvCxnSpPr/>
      </xdr:nvCxnSpPr>
      <xdr:spPr>
        <a:xfrm>
          <a:off x="114300" y="4048125"/>
          <a:ext cx="1476375" cy="0"/>
        </a:xfrm>
        <a:prstGeom prst="line">
          <a:avLst/>
        </a:prstGeom>
        <a:ln w="127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114300</xdr:colOff>
      <xdr:row>29</xdr:row>
      <xdr:rowOff>161925</xdr:rowOff>
    </xdr:from>
    <xdr:to>
      <xdr:col>1</xdr:col>
      <xdr:colOff>828675</xdr:colOff>
      <xdr:row>29</xdr:row>
      <xdr:rowOff>161925</xdr:rowOff>
    </xdr:to>
    <xdr:cxnSp macro="">
      <xdr:nvCxnSpPr>
        <xdr:cNvPr id="67" name="Connecteur droit 66">
          <a:extLst>
            <a:ext uri="{FF2B5EF4-FFF2-40B4-BE49-F238E27FC236}">
              <a16:creationId xmlns:a16="http://schemas.microsoft.com/office/drawing/2014/main" id="{32624771-CE4E-4D17-8FB4-C3C83C0525DF}"/>
            </a:ext>
          </a:extLst>
        </xdr:cNvPr>
        <xdr:cNvCxnSpPr/>
      </xdr:nvCxnSpPr>
      <xdr:spPr>
        <a:xfrm>
          <a:off x="114300" y="5686425"/>
          <a:ext cx="1476375" cy="0"/>
        </a:xfrm>
        <a:prstGeom prst="line">
          <a:avLst/>
        </a:prstGeom>
        <a:ln w="127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114300</xdr:colOff>
      <xdr:row>13</xdr:row>
      <xdr:rowOff>161925</xdr:rowOff>
    </xdr:from>
    <xdr:to>
      <xdr:col>1</xdr:col>
      <xdr:colOff>828675</xdr:colOff>
      <xdr:row>13</xdr:row>
      <xdr:rowOff>161925</xdr:rowOff>
    </xdr:to>
    <xdr:cxnSp macro="">
      <xdr:nvCxnSpPr>
        <xdr:cNvPr id="68" name="Connecteur droit 67">
          <a:extLst>
            <a:ext uri="{FF2B5EF4-FFF2-40B4-BE49-F238E27FC236}">
              <a16:creationId xmlns:a16="http://schemas.microsoft.com/office/drawing/2014/main" id="{950187A2-D347-8954-2BCB-22DCB043B1FE}"/>
            </a:ext>
          </a:extLst>
        </xdr:cNvPr>
        <xdr:cNvCxnSpPr/>
      </xdr:nvCxnSpPr>
      <xdr:spPr>
        <a:xfrm>
          <a:off x="114300" y="2638425"/>
          <a:ext cx="1476375" cy="0"/>
        </a:xfrm>
        <a:prstGeom prst="line">
          <a:avLst/>
        </a:prstGeom>
        <a:ln w="127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47625</xdr:colOff>
      <xdr:row>0</xdr:row>
      <xdr:rowOff>133351</xdr:rowOff>
    </xdr:from>
    <xdr:to>
      <xdr:col>0</xdr:col>
      <xdr:colOff>457200</xdr:colOff>
      <xdr:row>2</xdr:row>
      <xdr:rowOff>157425</xdr:rowOff>
    </xdr:to>
    <xdr:pic>
      <xdr:nvPicPr>
        <xdr:cNvPr id="81" name="Image 80">
          <a:extLst>
            <a:ext uri="{FF2B5EF4-FFF2-40B4-BE49-F238E27FC236}">
              <a16:creationId xmlns:a16="http://schemas.microsoft.com/office/drawing/2014/main" id="{569332AA-1C02-9A0D-89CB-A300D1409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47625" y="133351"/>
          <a:ext cx="409575" cy="405074"/>
        </a:xfrm>
        <a:prstGeom prst="rect">
          <a:avLst/>
        </a:prstGeom>
      </xdr:spPr>
    </xdr:pic>
    <xdr:clientData/>
  </xdr:twoCellAnchor>
  <xdr:twoCellAnchor>
    <xdr:from>
      <xdr:col>0</xdr:col>
      <xdr:colOff>447674</xdr:colOff>
      <xdr:row>0</xdr:row>
      <xdr:rowOff>95250</xdr:rowOff>
    </xdr:from>
    <xdr:to>
      <xdr:col>1</xdr:col>
      <xdr:colOff>971549</xdr:colOff>
      <xdr:row>1</xdr:row>
      <xdr:rowOff>161925</xdr:rowOff>
    </xdr:to>
    <xdr:sp macro="" textlink="">
      <xdr:nvSpPr>
        <xdr:cNvPr id="82" name="ZoneTexte 81">
          <a:extLst>
            <a:ext uri="{FF2B5EF4-FFF2-40B4-BE49-F238E27FC236}">
              <a16:creationId xmlns:a16="http://schemas.microsoft.com/office/drawing/2014/main" id="{D3AB08FA-A67B-B42E-3450-F2FA5C4ECC3A}"/>
            </a:ext>
          </a:extLst>
        </xdr:cNvPr>
        <xdr:cNvSpPr txBox="1"/>
      </xdr:nvSpPr>
      <xdr:spPr>
        <a:xfrm>
          <a:off x="447674" y="95250"/>
          <a:ext cx="12858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 baseline="0">
              <a:solidFill>
                <a:sysClr val="windowText" lastClr="000000"/>
              </a:solidFill>
              <a:latin typeface="+mn-lt"/>
            </a:rPr>
            <a:t>Marchandises</a:t>
          </a:r>
          <a:endParaRPr lang="fr-FR" sz="14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0</xdr:col>
      <xdr:colOff>466724</xdr:colOff>
      <xdr:row>1</xdr:row>
      <xdr:rowOff>123825</xdr:rowOff>
    </xdr:from>
    <xdr:to>
      <xdr:col>2</xdr:col>
      <xdr:colOff>9524</xdr:colOff>
      <xdr:row>3</xdr:row>
      <xdr:rowOff>0</xdr:rowOff>
    </xdr:to>
    <xdr:sp macro="" textlink="">
      <xdr:nvSpPr>
        <xdr:cNvPr id="89" name="ZoneTexte 88">
          <a:extLst>
            <a:ext uri="{FF2B5EF4-FFF2-40B4-BE49-F238E27FC236}">
              <a16:creationId xmlns:a16="http://schemas.microsoft.com/office/drawing/2014/main" id="{561B1E66-7734-BEE5-CC89-CAEA644FC566}"/>
            </a:ext>
          </a:extLst>
        </xdr:cNvPr>
        <xdr:cNvSpPr txBox="1"/>
      </xdr:nvSpPr>
      <xdr:spPr>
        <a:xfrm>
          <a:off x="466724" y="314325"/>
          <a:ext cx="12858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 b="0" baseline="0">
              <a:solidFill>
                <a:srgbClr val="A6A6A6"/>
              </a:solidFill>
              <a:latin typeface="+mn-lt"/>
            </a:rPr>
            <a:t>Gestion de Stock</a:t>
          </a:r>
          <a:endParaRPr lang="fr-FR" sz="1000" b="0">
            <a:solidFill>
              <a:srgbClr val="A6A6A6"/>
            </a:solidFill>
            <a:latin typeface="+mn-lt"/>
          </a:endParaRPr>
        </a:p>
      </xdr:txBody>
    </xdr:sp>
    <xdr:clientData/>
  </xdr:twoCellAnchor>
  <xdr:twoCellAnchor>
    <xdr:from>
      <xdr:col>0</xdr:col>
      <xdr:colOff>400049</xdr:colOff>
      <xdr:row>5</xdr:row>
      <xdr:rowOff>28575</xdr:rowOff>
    </xdr:from>
    <xdr:to>
      <xdr:col>2</xdr:col>
      <xdr:colOff>66675</xdr:colOff>
      <xdr:row>6</xdr:row>
      <xdr:rowOff>95250</xdr:rowOff>
    </xdr:to>
    <xdr:sp macro="" textlink="">
      <xdr:nvSpPr>
        <xdr:cNvPr id="90" name="ZoneTexte 89">
          <a:extLst>
            <a:ext uri="{FF2B5EF4-FFF2-40B4-BE49-F238E27FC236}">
              <a16:creationId xmlns:a16="http://schemas.microsoft.com/office/drawing/2014/main" id="{27C026D3-1930-10CB-F9D3-6374A88AE862}"/>
            </a:ext>
          </a:extLst>
        </xdr:cNvPr>
        <xdr:cNvSpPr txBox="1"/>
      </xdr:nvSpPr>
      <xdr:spPr>
        <a:xfrm>
          <a:off x="400049" y="981075"/>
          <a:ext cx="1409701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300" b="1" baseline="0">
              <a:solidFill>
                <a:sysClr val="windowText" lastClr="000000"/>
              </a:solidFill>
              <a:latin typeface="+mn-lt"/>
            </a:rPr>
            <a:t>Tableau de bord</a:t>
          </a:r>
          <a:endParaRPr lang="fr-FR" sz="13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0</xdr:col>
      <xdr:colOff>400049</xdr:colOff>
      <xdr:row>7</xdr:row>
      <xdr:rowOff>47625</xdr:rowOff>
    </xdr:from>
    <xdr:to>
      <xdr:col>1</xdr:col>
      <xdr:colOff>923924</xdr:colOff>
      <xdr:row>8</xdr:row>
      <xdr:rowOff>114300</xdr:rowOff>
    </xdr:to>
    <xdr:sp macro="[1]!versOperation" textlink="">
      <xdr:nvSpPr>
        <xdr:cNvPr id="91" name="ZoneTexte 90">
          <a:extLst>
            <a:ext uri="{FF2B5EF4-FFF2-40B4-BE49-F238E27FC236}">
              <a16:creationId xmlns:a16="http://schemas.microsoft.com/office/drawing/2014/main" id="{0D92C94A-0F19-4E25-6B53-9FC7C70BBF58}"/>
            </a:ext>
          </a:extLst>
        </xdr:cNvPr>
        <xdr:cNvSpPr txBox="1"/>
      </xdr:nvSpPr>
      <xdr:spPr>
        <a:xfrm>
          <a:off x="400049" y="1381125"/>
          <a:ext cx="12858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300" b="1" baseline="0">
              <a:solidFill>
                <a:srgbClr val="A6A6A6"/>
              </a:solidFill>
              <a:latin typeface="+mn-lt"/>
            </a:rPr>
            <a:t>Opérations</a:t>
          </a:r>
          <a:endParaRPr lang="fr-FR" sz="1300" b="1">
            <a:solidFill>
              <a:srgbClr val="A6A6A6"/>
            </a:solidFill>
            <a:latin typeface="+mn-lt"/>
          </a:endParaRPr>
        </a:p>
      </xdr:txBody>
    </xdr:sp>
    <xdr:clientData/>
  </xdr:twoCellAnchor>
  <xdr:twoCellAnchor>
    <xdr:from>
      <xdr:col>0</xdr:col>
      <xdr:colOff>400049</xdr:colOff>
      <xdr:row>9</xdr:row>
      <xdr:rowOff>9525</xdr:rowOff>
    </xdr:from>
    <xdr:to>
      <xdr:col>1</xdr:col>
      <xdr:colOff>923924</xdr:colOff>
      <xdr:row>10</xdr:row>
      <xdr:rowOff>76200</xdr:rowOff>
    </xdr:to>
    <xdr:sp macro="[1]!versInventaire" textlink="">
      <xdr:nvSpPr>
        <xdr:cNvPr id="92" name="ZoneTexte 91">
          <a:extLst>
            <a:ext uri="{FF2B5EF4-FFF2-40B4-BE49-F238E27FC236}">
              <a16:creationId xmlns:a16="http://schemas.microsoft.com/office/drawing/2014/main" id="{991E779A-755D-BA46-CF48-D8036F664A3A}"/>
            </a:ext>
          </a:extLst>
        </xdr:cNvPr>
        <xdr:cNvSpPr txBox="1"/>
      </xdr:nvSpPr>
      <xdr:spPr>
        <a:xfrm>
          <a:off x="400049" y="1724025"/>
          <a:ext cx="12858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300" b="1" baseline="0">
              <a:solidFill>
                <a:srgbClr val="A6A6A6"/>
              </a:solidFill>
              <a:latin typeface="+mn-lt"/>
            </a:rPr>
            <a:t>Inventaire</a:t>
          </a:r>
          <a:endParaRPr lang="fr-FR" sz="1300" b="1">
            <a:solidFill>
              <a:srgbClr val="A6A6A6"/>
            </a:solidFill>
            <a:latin typeface="+mn-lt"/>
          </a:endParaRPr>
        </a:p>
      </xdr:txBody>
    </xdr:sp>
    <xdr:clientData/>
  </xdr:twoCellAnchor>
  <xdr:twoCellAnchor editAs="oneCell">
    <xdr:from>
      <xdr:col>0</xdr:col>
      <xdr:colOff>85725</xdr:colOff>
      <xdr:row>5</xdr:row>
      <xdr:rowOff>38100</xdr:rowOff>
    </xdr:from>
    <xdr:to>
      <xdr:col>0</xdr:col>
      <xdr:colOff>373725</xdr:colOff>
      <xdr:row>6</xdr:row>
      <xdr:rowOff>135600</xdr:rowOff>
    </xdr:to>
    <xdr:pic>
      <xdr:nvPicPr>
        <xdr:cNvPr id="93" name="Image 92">
          <a:extLst>
            <a:ext uri="{FF2B5EF4-FFF2-40B4-BE49-F238E27FC236}">
              <a16:creationId xmlns:a16="http://schemas.microsoft.com/office/drawing/2014/main" id="{A2058BD4-59A4-E053-6081-9BCB6218C8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5725" y="990600"/>
          <a:ext cx="288000" cy="28800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7</xdr:row>
      <xdr:rowOff>76200</xdr:rowOff>
    </xdr:from>
    <xdr:to>
      <xdr:col>0</xdr:col>
      <xdr:colOff>373725</xdr:colOff>
      <xdr:row>8</xdr:row>
      <xdr:rowOff>173700</xdr:rowOff>
    </xdr:to>
    <xdr:pic>
      <xdr:nvPicPr>
        <xdr:cNvPr id="94" name="Image 93">
          <a:extLst>
            <a:ext uri="{FF2B5EF4-FFF2-40B4-BE49-F238E27FC236}">
              <a16:creationId xmlns:a16="http://schemas.microsoft.com/office/drawing/2014/main" id="{562493CD-AC65-9CD1-2907-744C6A430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85725" y="1409700"/>
          <a:ext cx="288000" cy="28800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8</xdr:row>
      <xdr:rowOff>190498</xdr:rowOff>
    </xdr:from>
    <xdr:to>
      <xdr:col>0</xdr:col>
      <xdr:colOff>373725</xdr:colOff>
      <xdr:row>10</xdr:row>
      <xdr:rowOff>97498</xdr:rowOff>
    </xdr:to>
    <xdr:pic>
      <xdr:nvPicPr>
        <xdr:cNvPr id="95" name="Image 94">
          <a:extLst>
            <a:ext uri="{FF2B5EF4-FFF2-40B4-BE49-F238E27FC236}">
              <a16:creationId xmlns:a16="http://schemas.microsoft.com/office/drawing/2014/main" id="{E90356BE-E4FC-5042-0223-EF4DF016A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5725" y="1714498"/>
          <a:ext cx="288000" cy="288000"/>
        </a:xfrm>
        <a:prstGeom prst="rect">
          <a:avLst/>
        </a:prstGeom>
      </xdr:spPr>
    </xdr:pic>
    <xdr:clientData/>
  </xdr:twoCellAnchor>
  <xdr:twoCellAnchor editAs="oneCell">
    <xdr:from>
      <xdr:col>15</xdr:col>
      <xdr:colOff>123825</xdr:colOff>
      <xdr:row>0</xdr:row>
      <xdr:rowOff>85725</xdr:rowOff>
    </xdr:from>
    <xdr:to>
      <xdr:col>15</xdr:col>
      <xdr:colOff>339825</xdr:colOff>
      <xdr:row>1</xdr:row>
      <xdr:rowOff>111225</xdr:rowOff>
    </xdr:to>
    <xdr:pic macro="[0]!actualiser">
      <xdr:nvPicPr>
        <xdr:cNvPr id="96" name="Image 95">
          <a:extLst>
            <a:ext uri="{FF2B5EF4-FFF2-40B4-BE49-F238E27FC236}">
              <a16:creationId xmlns:a16="http://schemas.microsoft.com/office/drawing/2014/main" id="{ABB057C9-71BE-81F6-BC40-C80121327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1772900" y="85725"/>
          <a:ext cx="216000" cy="216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996460</xdr:colOff>
      <xdr:row>17</xdr:row>
      <xdr:rowOff>49703</xdr:rowOff>
    </xdr:from>
    <xdr:to>
      <xdr:col>9</xdr:col>
      <xdr:colOff>35029</xdr:colOff>
      <xdr:row>18</xdr:row>
      <xdr:rowOff>21287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46787035-7718-4DC3-92D6-B888E8F5C905}"/>
            </a:ext>
          </a:extLst>
        </xdr:cNvPr>
        <xdr:cNvSpPr/>
      </xdr:nvSpPr>
      <xdr:spPr>
        <a:xfrm>
          <a:off x="7221414" y="3859703"/>
          <a:ext cx="756000" cy="252938"/>
        </a:xfrm>
        <a:prstGeom prst="roundRect">
          <a:avLst/>
        </a:prstGeom>
        <a:solidFill>
          <a:srgbClr val="51459E"/>
        </a:solidFill>
        <a:ln>
          <a:noFill/>
        </a:ln>
        <a:effectLst>
          <a:glow rad="38100">
            <a:srgbClr val="51459E">
              <a:alpha val="33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 spc="110" baseline="0"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Sortie</a:t>
          </a:r>
        </a:p>
      </xdr:txBody>
    </xdr:sp>
    <xdr:clientData/>
  </xdr:twoCellAnchor>
  <xdr:twoCellAnchor>
    <xdr:from>
      <xdr:col>6</xdr:col>
      <xdr:colOff>18288</xdr:colOff>
      <xdr:row>17</xdr:row>
      <xdr:rowOff>49703</xdr:rowOff>
    </xdr:from>
    <xdr:to>
      <xdr:col>6</xdr:col>
      <xdr:colOff>774288</xdr:colOff>
      <xdr:row>18</xdr:row>
      <xdr:rowOff>21287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559911A0-15C1-4265-B15E-19BED6FCECE2}"/>
            </a:ext>
          </a:extLst>
        </xdr:cNvPr>
        <xdr:cNvSpPr/>
      </xdr:nvSpPr>
      <xdr:spPr>
        <a:xfrm>
          <a:off x="3599688" y="3859703"/>
          <a:ext cx="756000" cy="252938"/>
        </a:xfrm>
        <a:prstGeom prst="roundRect">
          <a:avLst/>
        </a:prstGeom>
        <a:solidFill>
          <a:srgbClr val="FAFAFA"/>
        </a:solidFill>
        <a:ln>
          <a:noFill/>
        </a:ln>
        <a:effectLst>
          <a:glow rad="38100">
            <a:schemeClr val="bg1">
              <a:lumMod val="50000"/>
              <a:alpha val="3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900" b="1" i="0" u="none" strike="noStrike" kern="0" cap="none" spc="11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Annuler</a:t>
          </a:r>
          <a:endParaRPr lang="fr-FR" sz="900" b="1">
            <a:solidFill>
              <a:schemeClr val="tx1"/>
            </a:solidFill>
            <a:latin typeface="Gilroy-Bold" panose="00000800000000000000" pitchFamily="2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8</xdr:col>
      <xdr:colOff>12422</xdr:colOff>
      <xdr:row>17</xdr:row>
      <xdr:rowOff>49703</xdr:rowOff>
    </xdr:from>
    <xdr:to>
      <xdr:col>8</xdr:col>
      <xdr:colOff>768422</xdr:colOff>
      <xdr:row>18</xdr:row>
      <xdr:rowOff>21287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59CF9C97-38A7-4FCD-8781-C57AB63A9E48}"/>
            </a:ext>
          </a:extLst>
        </xdr:cNvPr>
        <xdr:cNvSpPr/>
      </xdr:nvSpPr>
      <xdr:spPr>
        <a:xfrm>
          <a:off x="6237376" y="3859703"/>
          <a:ext cx="756000" cy="252938"/>
        </a:xfrm>
        <a:prstGeom prst="roundRect">
          <a:avLst/>
        </a:prstGeom>
        <a:solidFill>
          <a:srgbClr val="51459E"/>
        </a:solidFill>
        <a:ln>
          <a:noFill/>
        </a:ln>
        <a:effectLst>
          <a:glow rad="38100">
            <a:srgbClr val="51459E">
              <a:alpha val="33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 spc="110" baseline="0"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Entrée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690988</xdr:colOff>
      <xdr:row>9</xdr:row>
      <xdr:rowOff>145773</xdr:rowOff>
    </xdr:from>
    <xdr:to>
      <xdr:col>5</xdr:col>
      <xdr:colOff>1410988</xdr:colOff>
      <xdr:row>11</xdr:row>
      <xdr:rowOff>26712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84905012-F30E-45E8-B91E-98B0FB63AAFA}"/>
            </a:ext>
          </a:extLst>
        </xdr:cNvPr>
        <xdr:cNvSpPr/>
      </xdr:nvSpPr>
      <xdr:spPr>
        <a:xfrm>
          <a:off x="6581579" y="2252869"/>
          <a:ext cx="720000" cy="252000"/>
        </a:xfrm>
        <a:prstGeom prst="roundRect">
          <a:avLst/>
        </a:prstGeom>
        <a:solidFill>
          <a:srgbClr val="51459E"/>
        </a:solidFill>
        <a:ln>
          <a:noFill/>
        </a:ln>
        <a:effectLst>
          <a:glow rad="38100">
            <a:srgbClr val="51459E">
              <a:alpha val="33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 spc="110" baseline="0"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Ajouter</a:t>
          </a:r>
        </a:p>
      </xdr:txBody>
    </xdr:sp>
    <xdr:clientData/>
  </xdr:twoCellAnchor>
  <xdr:twoCellAnchor>
    <xdr:from>
      <xdr:col>4</xdr:col>
      <xdr:colOff>1179444</xdr:colOff>
      <xdr:row>9</xdr:row>
      <xdr:rowOff>145773</xdr:rowOff>
    </xdr:from>
    <xdr:to>
      <xdr:col>5</xdr:col>
      <xdr:colOff>527844</xdr:colOff>
      <xdr:row>11</xdr:row>
      <xdr:rowOff>26712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2901793D-7FE0-4780-89AE-DB69CF8F3EAF}"/>
            </a:ext>
          </a:extLst>
        </xdr:cNvPr>
        <xdr:cNvSpPr/>
      </xdr:nvSpPr>
      <xdr:spPr>
        <a:xfrm>
          <a:off x="5698435" y="2252869"/>
          <a:ext cx="720000" cy="252000"/>
        </a:xfrm>
        <a:prstGeom prst="roundRect">
          <a:avLst/>
        </a:prstGeom>
        <a:solidFill>
          <a:srgbClr val="FAFAFA"/>
        </a:solidFill>
        <a:ln>
          <a:noFill/>
        </a:ln>
        <a:effectLst>
          <a:glow rad="38100">
            <a:schemeClr val="bg1">
              <a:lumMod val="50000"/>
              <a:alpha val="3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900" b="1" i="0" u="none" strike="noStrike" kern="0" cap="none" spc="11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Annuler</a:t>
          </a:r>
          <a:endParaRPr lang="fr-FR" sz="900" b="1">
            <a:solidFill>
              <a:schemeClr val="tx1"/>
            </a:solidFill>
            <a:latin typeface="Gilroy-Bold" panose="00000800000000000000" pitchFamily="2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723900</xdr:colOff>
      <xdr:row>0</xdr:row>
      <xdr:rowOff>28576</xdr:rowOff>
    </xdr:from>
    <xdr:to>
      <xdr:col>14</xdr:col>
      <xdr:colOff>266700</xdr:colOff>
      <xdr:row>9</xdr:row>
      <xdr:rowOff>104776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atégories">
              <a:extLst>
                <a:ext uri="{FF2B5EF4-FFF2-40B4-BE49-F238E27FC236}">
                  <a16:creationId xmlns:a16="http://schemas.microsoft.com/office/drawing/2014/main" id="{4D084E92-C037-A3DE-E492-78461A44A53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29850" y="285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2</xdr:col>
      <xdr:colOff>409575</xdr:colOff>
      <xdr:row>7</xdr:row>
      <xdr:rowOff>171449</xdr:rowOff>
    </xdr:from>
    <xdr:to>
      <xdr:col>6</xdr:col>
      <xdr:colOff>57149</xdr:colOff>
      <xdr:row>16</xdr:row>
      <xdr:rowOff>28574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C1F24D84-C77B-1825-0CBB-68C64E127E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323850</xdr:colOff>
      <xdr:row>15</xdr:row>
      <xdr:rowOff>161925</xdr:rowOff>
    </xdr:from>
    <xdr:to>
      <xdr:col>5</xdr:col>
      <xdr:colOff>609600</xdr:colOff>
      <xdr:row>22</xdr:row>
      <xdr:rowOff>95250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B5DE8CC1-9E9E-052A-DB87-CDE1BD22E6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133349</xdr:colOff>
      <xdr:row>21</xdr:row>
      <xdr:rowOff>171450</xdr:rowOff>
    </xdr:from>
    <xdr:to>
      <xdr:col>5</xdr:col>
      <xdr:colOff>342899</xdr:colOff>
      <xdr:row>30</xdr:row>
      <xdr:rowOff>134550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E3AD8A2C-21D7-D0C2-4B4D-DCE98914A0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876299</xdr:colOff>
      <xdr:row>28</xdr:row>
      <xdr:rowOff>128587</xdr:rowOff>
    </xdr:from>
    <xdr:to>
      <xdr:col>5</xdr:col>
      <xdr:colOff>152400</xdr:colOff>
      <xdr:row>37</xdr:row>
      <xdr:rowOff>91687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FDCCB58-C187-07F6-C61C-ED26B35C49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990600</xdr:colOff>
      <xdr:row>43</xdr:row>
      <xdr:rowOff>9524</xdr:rowOff>
    </xdr:from>
    <xdr:to>
      <xdr:col>5</xdr:col>
      <xdr:colOff>200026</xdr:colOff>
      <xdr:row>51</xdr:row>
      <xdr:rowOff>1199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69D3A672-E38E-A00E-DB78-1EAC059EC3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752475</xdr:colOff>
      <xdr:row>36</xdr:row>
      <xdr:rowOff>57150</xdr:rowOff>
    </xdr:from>
    <xdr:to>
      <xdr:col>5</xdr:col>
      <xdr:colOff>118447</xdr:colOff>
      <xdr:row>44</xdr:row>
      <xdr:rowOff>37914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BB6988B5-C75E-41F6-93F2-0F0BF0A197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695325</xdr:colOff>
      <xdr:row>48</xdr:row>
      <xdr:rowOff>123825</xdr:rowOff>
    </xdr:from>
    <xdr:to>
      <xdr:col>11</xdr:col>
      <xdr:colOff>342900</xdr:colOff>
      <xdr:row>56</xdr:row>
      <xdr:rowOff>124777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9A096DC4-0F0E-4B87-88D0-1FD7946BB4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609600</xdr:colOff>
      <xdr:row>56</xdr:row>
      <xdr:rowOff>152399</xdr:rowOff>
    </xdr:from>
    <xdr:to>
      <xdr:col>12</xdr:col>
      <xdr:colOff>0</xdr:colOff>
      <xdr:row>65</xdr:row>
      <xdr:rowOff>147636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9236A74-6C6E-978B-6564-0F63B53C85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1028700</xdr:colOff>
      <xdr:row>66</xdr:row>
      <xdr:rowOff>19049</xdr:rowOff>
    </xdr:from>
    <xdr:to>
      <xdr:col>8</xdr:col>
      <xdr:colOff>514350</xdr:colOff>
      <xdr:row>75</xdr:row>
      <xdr:rowOff>147636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96D7F83F-0DA0-CC65-2049-786D4C8BF1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828675</xdr:colOff>
      <xdr:row>74</xdr:row>
      <xdr:rowOff>161925</xdr:rowOff>
    </xdr:from>
    <xdr:to>
      <xdr:col>8</xdr:col>
      <xdr:colOff>400050</xdr:colOff>
      <xdr:row>81</xdr:row>
      <xdr:rowOff>166687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303C3D2-D7F2-1DE7-4045-2C806411CA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180975</xdr:colOff>
      <xdr:row>81</xdr:row>
      <xdr:rowOff>123825</xdr:rowOff>
    </xdr:from>
    <xdr:to>
      <xdr:col>7</xdr:col>
      <xdr:colOff>704850</xdr:colOff>
      <xdr:row>88</xdr:row>
      <xdr:rowOff>185737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C341E2B1-8FA3-804C-5D3D-D2BBE9F55F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</xdr:col>
      <xdr:colOff>1400175</xdr:colOff>
      <xdr:row>1</xdr:row>
      <xdr:rowOff>47626</xdr:rowOff>
    </xdr:from>
    <xdr:to>
      <xdr:col>6</xdr:col>
      <xdr:colOff>85725</xdr:colOff>
      <xdr:row>9</xdr:row>
      <xdr:rowOff>142876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4" name="Références">
              <a:extLst>
                <a:ext uri="{FF2B5EF4-FFF2-40B4-BE49-F238E27FC236}">
                  <a16:creationId xmlns:a16="http://schemas.microsoft.com/office/drawing/2014/main" id="{22CC8462-30B8-4584-A566-C4285EAA58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éférence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14900" y="238126"/>
              <a:ext cx="1828800" cy="1619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514350</xdr:colOff>
      <xdr:row>16</xdr:row>
      <xdr:rowOff>104775</xdr:rowOff>
    </xdr:from>
    <xdr:to>
      <xdr:col>6</xdr:col>
      <xdr:colOff>800100</xdr:colOff>
      <xdr:row>26</xdr:row>
      <xdr:rowOff>133350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5" name="Mois">
              <a:extLst>
                <a:ext uri="{FF2B5EF4-FFF2-40B4-BE49-F238E27FC236}">
                  <a16:creationId xmlns:a16="http://schemas.microsoft.com/office/drawing/2014/main" id="{1950D2D1-3F6B-67D8-E1F6-6E8871141E5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10325" y="3152775"/>
              <a:ext cx="1047750" cy="1933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moussou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euil1"/>
    </sheetNames>
    <definedNames>
      <definedName name="versInventaire"/>
      <definedName name="versOperation"/>
    </definedNames>
    <sheetDataSet>
      <sheetData sheetId="0"/>
    </sheetDataSet>
  </externalBook>
</externalLink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iane AMOUSSOU" refreshedDate="46092.662524884261" backgroundQuery="1" createdVersion="8" refreshedVersion="8" minRefreshableVersion="3" recordCount="0" supportSubquery="1" supportAdvancedDrill="1" xr:uid="{F2004C1B-1E61-4DA5-A09C-03174A163911}">
  <cacheSource type="external" connectionId="1"/>
  <cacheFields count="3">
    <cacheField name="[listeAchats].[Date (mois)].[Date (mois)]" caption="Date (mois)" numFmtId="0" hierarchy="12" level="1">
      <sharedItems count="5">
        <s v="janv"/>
        <s v="févr"/>
        <s v="mars"/>
        <s v="avr"/>
        <s v="mai"/>
      </sharedItems>
    </cacheField>
    <cacheField name="[Measures].[Somme de Quantité]" caption="Somme de Quantité" numFmtId="0" hierarchy="31" level="32767"/>
    <cacheField name="[lesCategories].[Catégories].[Catégories]" caption="Catégories" numFmtId="0" level="1">
      <sharedItems containsSemiMixedTypes="0" containsNonDate="0" containsString="0"/>
    </cacheField>
  </cacheFields>
  <cacheHierarchies count="35">
    <cacheHierarchy uniqueName="[lesCategories].[Catégories]" caption="Catégories" attribute="1" defaultMemberUniqueName="[lesCategories].[Catégories].[All]" allUniqueName="[lesCategories].[Catégories].[All]" dimensionUniqueName="[lesCategories]" displayFolder="" count="2" memberValueDatatype="130" unbalanced="0">
      <fieldsUsage count="2">
        <fieldUsage x="-1"/>
        <fieldUsage x="2"/>
      </fieldsUsage>
    </cacheHierarchy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2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2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2" memberValueDatatype="130" unbalanced="0">
      <fieldsUsage count="2">
        <fieldUsage x="-1"/>
        <fieldUsage x="0"/>
      </fieldsUsage>
    </cacheHierarchy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6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</dimensions>
  <measureGroups count="5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iane AMOUSSOU" refreshedDate="46092.6625255787" backgroundQuery="1" createdVersion="8" refreshedVersion="8" minRefreshableVersion="3" recordCount="0" supportSubquery="1" supportAdvancedDrill="1" xr:uid="{B85D1159-2E44-4A6D-BF3A-F1F8CA072E90}">
  <cacheSource type="external" connectionId="1"/>
  <cacheFields count="3">
    <cacheField name="[listeVentes].[Date (mois)].[Date (mois)]" caption="Date (mois)" numFmtId="0" hierarchy="22" level="1">
      <sharedItems count="5">
        <s v="janv"/>
        <s v="févr"/>
        <s v="mars"/>
        <s v="avr"/>
        <s v="mai"/>
      </sharedItems>
    </cacheField>
    <cacheField name="[Measures].[Somme de Quantité 2]" caption="Somme de Quantité 2" numFmtId="0" hierarchy="34" level="32767"/>
    <cacheField name="[lesCategories].[Catégories].[Catégories]" caption="Catégories" numFmtId="0" level="1">
      <sharedItems containsSemiMixedTypes="0" containsNonDate="0" containsString="0"/>
    </cacheField>
  </cacheFields>
  <cacheHierarchies count="35">
    <cacheHierarchy uniqueName="[lesCategories].[Catégories]" caption="Catégories" attribute="1" defaultMemberUniqueName="[lesCategories].[Catégories].[All]" allUniqueName="[lesCategories].[Catégories].[All]" dimensionUniqueName="[lesCategories]" displayFolder="" count="2" memberValueDatatype="130" unbalanced="0">
      <fieldsUsage count="2">
        <fieldUsage x="-1"/>
        <fieldUsage x="2"/>
      </fieldsUsage>
    </cacheHierarchy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2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2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2" memberValueDatatype="130" unbalanced="0">
      <fieldsUsage count="2">
        <fieldUsage x="-1"/>
        <fieldUsage x="0"/>
      </fieldsUsage>
    </cacheHierarchy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6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</dimensions>
  <measureGroups count="5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iane AMOUSSOU" refreshedDate="46092.662526157408" backgroundQuery="1" createdVersion="8" refreshedVersion="8" minRefreshableVersion="3" recordCount="0" supportSubquery="1" supportAdvancedDrill="1" xr:uid="{3872B73F-69BC-4273-8917-4FBE9123759B}">
  <cacheSource type="external" connectionId="1"/>
  <cacheFields count="5">
    <cacheField name="[listeAchats].[Date].[Date]" caption="Date" numFmtId="0" hierarchy="4" level="1">
      <sharedItems containsSemiMixedTypes="0" containsNonDate="0" containsDate="1" containsString="0" minDate="2022-01-01T00:00:00" maxDate="2022-05-23T00:00:00" count="34">
        <d v="2022-01-01T00:00:00"/>
        <d v="2022-01-02T00:00:00"/>
        <d v="2022-01-05T00:00:00"/>
        <d v="2022-01-16T00:00:00"/>
        <d v="2022-01-20T00:00:00"/>
        <d v="2022-01-22T00:00:00"/>
        <d v="2022-01-25T00:00:00"/>
        <d v="2022-02-01T00:00:00"/>
        <d v="2022-02-02T00:00:00"/>
        <d v="2022-02-03T00:00:00"/>
        <d v="2022-02-05T00:00:00"/>
        <d v="2022-02-10T00:00:00"/>
        <d v="2022-02-15T00:00:00"/>
        <d v="2022-02-25T00:00:00"/>
        <d v="2022-02-26T00:00:00"/>
        <d v="2022-03-02T00:00:00"/>
        <d v="2022-03-03T00:00:00"/>
        <d v="2022-03-05T00:00:00"/>
        <d v="2022-03-06T00:00:00"/>
        <d v="2022-03-20T00:00:00"/>
        <d v="2022-03-26T00:00:00"/>
        <d v="2022-04-03T00:00:00"/>
        <d v="2022-04-04T00:00:00"/>
        <d v="2022-04-05T00:00:00"/>
        <d v="2022-04-06T00:00:00"/>
        <d v="2022-04-25T00:00:00"/>
        <d v="2022-05-02T00:00:00"/>
        <d v="2022-05-04T00:00:00"/>
        <d v="2022-05-05T00:00:00"/>
        <d v="2022-05-06T00:00:00"/>
        <d v="2022-05-08T00:00:00"/>
        <d v="2022-05-09T00:00:00"/>
        <d v="2022-05-17T00:00:00"/>
        <d v="2022-05-22T00:00:00"/>
      </sharedItems>
    </cacheField>
    <cacheField name="[listeAchats].[Date (mois)].[Date (mois)]" caption="Date (mois)" numFmtId="0" hierarchy="12" level="1">
      <sharedItems count="5">
        <s v="janv"/>
        <s v="févr"/>
        <s v="mars"/>
        <s v="avr"/>
        <s v="mai"/>
      </sharedItems>
    </cacheField>
    <cacheField name="[Measures].[Somme de Total]" caption="Somme de Total" numFmtId="0" hierarchy="32" level="32767"/>
    <cacheField name="[lesCategories].[Catégories].[Catégories]" caption="Catégories" numFmtId="0" level="1">
      <sharedItems containsSemiMixedTypes="0" containsNonDate="0" containsString="0"/>
    </cacheField>
    <cacheField name="Unsupported0" numFmtId="0" hierarchy="35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36">
    <cacheHierarchy uniqueName="[lesCategories].[Catégories]" caption="Catégories" attribute="1" defaultMemberUniqueName="[lesCategories].[Catégories].[All]" allUniqueName="[lesCategories].[Catégories].[All]" dimensionUniqueName="[lesCategories]" displayFolder="" count="2" memberValueDatatype="130" unbalanced="0">
      <fieldsUsage count="2">
        <fieldUsage x="-1"/>
        <fieldUsage x="3"/>
      </fieldsUsage>
    </cacheHierarchy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2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2" memberValueDatatype="7" unbalanced="0">
      <fieldsUsage count="2">
        <fieldUsage x="-1"/>
        <fieldUsage x="0"/>
      </fieldsUsage>
    </cacheHierarchy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2" memberValueDatatype="130" unbalanced="0">
      <fieldsUsage count="2">
        <fieldUsage x="-1"/>
        <fieldUsage x="1"/>
      </fieldsUsage>
    </cacheHierarchy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Unsupported0" caption="Catégorie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6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</dimensions>
  <measureGroups count="5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iane AMOUSSOU" refreshedDate="46092.66252662037" backgroundQuery="1" createdVersion="8" refreshedVersion="8" minRefreshableVersion="3" recordCount="0" supportSubquery="1" supportAdvancedDrill="1" xr:uid="{6C5F9259-15EC-4B38-9568-01E957984AD2}">
  <cacheSource type="external" connectionId="1"/>
  <cacheFields count="5">
    <cacheField name="[listeVentes].[Date].[Date]" caption="Date" numFmtId="0" hierarchy="14" level="1">
      <sharedItems containsSemiMixedTypes="0" containsNonDate="0" containsDate="1" containsString="0" minDate="2022-01-01T00:00:00" maxDate="2022-05-23T00:00:00" count="37">
        <d v="2022-01-01T00:00:00"/>
        <d v="2022-01-02T00:00:00"/>
        <d v="2022-01-06T00:00:00"/>
        <d v="2022-01-10T00:00:00"/>
        <d v="2022-01-17T00:00:00"/>
        <d v="2022-01-21T00:00:00"/>
        <d v="2022-01-23T00:00:00"/>
        <d v="2022-01-26T00:00:00"/>
        <d v="2022-02-02T00:00:00"/>
        <d v="2022-02-03T00:00:00"/>
        <d v="2022-02-05T00:00:00"/>
        <d v="2022-02-06T00:00:00"/>
        <d v="2022-02-09T00:00:00"/>
        <d v="2022-02-20T00:00:00"/>
        <d v="2022-02-22T00:00:00"/>
        <d v="2022-03-03T00:00:00"/>
        <d v="2022-03-04T00:00:00"/>
        <d v="2022-03-05T00:00:00"/>
        <d v="2022-03-06T00:00:00"/>
        <d v="2022-03-09T00:00:00"/>
        <d v="2022-03-26T00:00:00"/>
        <d v="2022-04-01T00:00:00"/>
        <d v="2022-04-04T00:00:00"/>
        <d v="2022-04-05T00:00:00"/>
        <d v="2022-04-09T00:00:00"/>
        <d v="2022-04-11T00:00:00"/>
        <d v="2022-04-19T00:00:00"/>
        <d v="2022-04-21T00:00:00"/>
        <d v="2022-04-22T00:00:00"/>
        <d v="2022-05-03T00:00:00"/>
        <d v="2022-05-04T00:00:00"/>
        <d v="2022-05-05T00:00:00"/>
        <d v="2022-05-06T00:00:00"/>
        <d v="2022-05-08T00:00:00"/>
        <d v="2022-05-15T00:00:00"/>
        <d v="2022-05-17T00:00:00"/>
        <d v="2022-05-22T00:00:00"/>
      </sharedItems>
    </cacheField>
    <cacheField name="[listeVentes].[Date (mois)].[Date (mois)]" caption="Date (mois)" numFmtId="0" hierarchy="22" level="1">
      <sharedItems count="5">
        <s v="janv"/>
        <s v="févr"/>
        <s v="mars"/>
        <s v="avr"/>
        <s v="mai"/>
      </sharedItems>
    </cacheField>
    <cacheField name="[Measures].[Somme de Total 2]" caption="Somme de Total 2" numFmtId="0" hierarchy="33" level="32767"/>
    <cacheField name="[lesCategories].[Catégories].[Catégories]" caption="Catégories" numFmtId="0" level="1">
      <sharedItems containsSemiMixedTypes="0" containsNonDate="0" containsString="0"/>
    </cacheField>
    <cacheField name="Unsupported0" numFmtId="0" hierarchy="35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36">
    <cacheHierarchy uniqueName="[lesCategories].[Catégories]" caption="Catégories" attribute="1" defaultMemberUniqueName="[lesCategories].[Catégories].[All]" allUniqueName="[lesCategories].[Catégories].[All]" dimensionUniqueName="[lesCategories]" displayFolder="" count="2" memberValueDatatype="130" unbalanced="0">
      <fieldsUsage count="2">
        <fieldUsage x="-1"/>
        <fieldUsage x="3"/>
      </fieldsUsage>
    </cacheHierarchy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2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2" memberValueDatatype="7" unbalanced="0">
      <fieldsUsage count="2">
        <fieldUsage x="-1"/>
        <fieldUsage x="0"/>
      </fieldsUsage>
    </cacheHierarchy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2" memberValueDatatype="130" unbalanced="0">
      <fieldsUsage count="2">
        <fieldUsage x="-1"/>
        <fieldUsage x="1"/>
      </fieldsUsage>
    </cacheHierarchy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Unsupported0" caption="Catégorie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6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</dimensions>
  <measureGroups count="5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iane AMOUSSOU" refreshedDate="46092.715995138889" createdVersion="8" refreshedVersion="8" minRefreshableVersion="3" recordCount="11" xr:uid="{D918DBC1-14EB-48DA-92D6-C499B3A2856B}">
  <cacheSource type="worksheet">
    <worksheetSource name="listeInventaire"/>
  </cacheSource>
  <cacheFields count="12">
    <cacheField name="Référence" numFmtId="0">
      <sharedItems/>
    </cacheField>
    <cacheField name="Désignation" numFmtId="0">
      <sharedItems count="9">
        <s v="GOOGLE PIXEL 5"/>
        <s v="IPHONE 13 PRO"/>
        <s v="Oreo"/>
        <s v="Réfrigérateur WHIRLPOOL"/>
        <s v="Réfrigérateur SIERA"/>
        <s v="Cuisinière SIERA"/>
        <s v="Cuisinière CANDY"/>
        <s v="PLAYSTATION PS5 "/>
        <s v="NINTENDO SWITCH"/>
      </sharedItems>
    </cacheField>
    <cacheField name="Catégorie" numFmtId="0">
      <sharedItems count="4">
        <s v="SmartPhone"/>
        <s v="Biscuits "/>
        <s v="Electro"/>
        <s v="Consoles"/>
      </sharedItems>
    </cacheField>
    <cacheField name="Unité" numFmtId="0">
      <sharedItems/>
    </cacheField>
    <cacheField name="Seuil d'alerte" numFmtId="0">
      <sharedItems containsSemiMixedTypes="0" containsString="0" containsNumber="1" containsInteger="1" minValue="10" maxValue="50"/>
    </cacheField>
    <cacheField name="Stock initial" numFmtId="0">
      <sharedItems containsSemiMixedTypes="0" containsString="0" containsNumber="1" containsInteger="1" minValue="0" maxValue="20"/>
    </cacheField>
    <cacheField name="Entrées" numFmtId="0">
      <sharedItems containsSemiMixedTypes="0" containsString="0" containsNumber="1" containsInteger="1" minValue="24" maxValue="320"/>
    </cacheField>
    <cacheField name="Sorties" numFmtId="0">
      <sharedItems containsSemiMixedTypes="0" containsString="0" containsNumber="1" containsInteger="1" minValue="21" maxValue="195"/>
    </cacheField>
    <cacheField name="Stock final" numFmtId="0">
      <sharedItems containsSemiMixedTypes="0" containsString="0" containsNumber="1" containsInteger="1" minValue="0" maxValue="130"/>
    </cacheField>
    <cacheField name="CUMP" numFmtId="164">
      <sharedItems containsSemiMixedTypes="0" containsString="0" containsNumber="1" minValue="0.20904761904761907" maxValue="1400"/>
    </cacheField>
    <cacheField name="Valeur" numFmtId="164">
      <sharedItems containsSemiMixedTypes="0" containsString="0" containsNumber="1" minValue="0" maxValue="16800"/>
    </cacheField>
    <cacheField name="Statue" numFmtId="0">
      <sharedItems count="3">
        <s v="Stock normal"/>
        <s v="Stock faible"/>
        <s v="Non disponibl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iane AMOUSSOU" refreshedDate="46092.724340624998" backgroundQuery="1" createdVersion="8" refreshedVersion="8" minRefreshableVersion="3" recordCount="0" supportSubquery="1" supportAdvancedDrill="1" xr:uid="{09AF29D5-3DD6-415D-8F61-CB4EB59F8A37}">
  <cacheSource type="external" connectionId="1"/>
  <cacheFields count="3">
    <cacheField name="[Measures].[Somme de Quantité]" caption="Somme de Quantité" numFmtId="0" hierarchy="31" level="32767"/>
    <cacheField name="[Measures].[Somme de Total]" caption="Somme de Total" numFmtId="0" hierarchy="32" level="32767"/>
    <cacheField name="[lesMois].[Mois].[Mois]" caption="Mois" numFmtId="0" hierarchy="1" level="1">
      <sharedItems containsSemiMixedTypes="0" containsNonDate="0" containsString="0"/>
    </cacheField>
  </cacheFields>
  <cacheHierarchies count="35">
    <cacheHierarchy uniqueName="[lesCategories].[Catégories]" caption="Catégories" attribute="1" defaultMemberUniqueName="[lesCategories].[Catégories].[All]" allUniqueName="[lesCategories].[Catégories].[All]" dimensionUniqueName="[lesCategories]" displayFolder="" count="2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2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2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2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2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2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2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2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2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2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2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2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2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2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2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2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2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2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2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2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2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2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2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2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6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</dimensions>
  <measureGroups count="5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iane AMOUSSOU" refreshedDate="46092.724341203706" backgroundQuery="1" createdVersion="8" refreshedVersion="8" minRefreshableVersion="3" recordCount="0" supportSubquery="1" supportAdvancedDrill="1" xr:uid="{2F43BA88-31F7-4754-8447-EA7F94D5EB6B}">
  <cacheSource type="external" connectionId="1"/>
  <cacheFields count="3">
    <cacheField name="[Measures].[Somme de Quantité 2]" caption="Somme de Quantité 2" numFmtId="0" hierarchy="34" level="32767"/>
    <cacheField name="[Measures].[Somme de Total 2]" caption="Somme de Total 2" numFmtId="0" hierarchy="33" level="32767"/>
    <cacheField name="[lesMois].[Mois].[Mois]" caption="Mois" numFmtId="0" hierarchy="1" level="1">
      <sharedItems containsSemiMixedTypes="0" containsNonDate="0" containsString="0"/>
    </cacheField>
  </cacheFields>
  <cacheHierarchies count="35">
    <cacheHierarchy uniqueName="[lesCategories].[Catégories]" caption="Catégories" attribute="1" defaultMemberUniqueName="[lesCategories].[Catégories].[All]" allUniqueName="[lesCategories].[Catégories].[All]" dimensionUniqueName="[lesCategories]" displayFolder="" count="2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2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2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2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2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2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2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2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2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2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2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2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2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2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2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2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2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2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2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2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2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2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2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2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6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</dimensions>
  <measureGroups count="5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iane AMOUSSOU" refreshedDate="46092.724341550929" backgroundQuery="1" createdVersion="8" refreshedVersion="8" minRefreshableVersion="3" recordCount="0" supportSubquery="1" supportAdvancedDrill="1" xr:uid="{46CED153-8F15-4A58-AED4-F5AF999FCF91}">
  <cacheSource type="external" connectionId="1"/>
  <cacheFields count="3">
    <cacheField name="[listeAchats].[Catégorie].[Catégorie]" caption="Catégorie" numFmtId="0" hierarchy="7" level="1">
      <sharedItems count="4">
        <s v="Biscuits"/>
        <s v="Consoles"/>
        <s v="Electro"/>
        <s v="SmartPhone"/>
      </sharedItems>
    </cacheField>
    <cacheField name="[Measures].[Somme de Quantité]" caption="Somme de Quantité" numFmtId="0" hierarchy="31" level="32767"/>
    <cacheField name="[lesMois].[Mois].[Mois]" caption="Mois" numFmtId="0" hierarchy="1" level="1">
      <sharedItems containsSemiMixedTypes="0" containsNonDate="0" containsString="0"/>
    </cacheField>
  </cacheFields>
  <cacheHierarchies count="35"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2" memberValueDatatype="130" unbalanced="0">
      <fieldsUsage count="2">
        <fieldUsage x="-1"/>
        <fieldUsage x="0"/>
      </fieldsUsage>
    </cacheHierarchy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6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</dimensions>
  <measureGroups count="5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iane AMOUSSOU" refreshedDate="46092.724341898145" backgroundQuery="1" createdVersion="8" refreshedVersion="8" minRefreshableVersion="3" recordCount="0" supportSubquery="1" supportAdvancedDrill="1" xr:uid="{148F8EF6-1FF7-4C3F-A517-C586A7A016A1}">
  <cacheSource type="external" connectionId="1"/>
  <cacheFields count="3">
    <cacheField name="[listeAchats].[Catégorie].[Catégorie]" caption="Catégorie" numFmtId="0" hierarchy="7" level="1">
      <sharedItems count="4">
        <s v="Biscuits"/>
        <s v="Consoles"/>
        <s v="Electro"/>
        <s v="SmartPhone"/>
      </sharedItems>
    </cacheField>
    <cacheField name="[Measures].[Somme de Total]" caption="Somme de Total" numFmtId="0" hierarchy="32" level="32767"/>
    <cacheField name="[lesMois].[Mois].[Mois]" caption="Mois" numFmtId="0" hierarchy="1" level="1">
      <sharedItems containsSemiMixedTypes="0" containsNonDate="0" containsString="0"/>
    </cacheField>
  </cacheFields>
  <cacheHierarchies count="35"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2" memberValueDatatype="130" unbalanced="0">
      <fieldsUsage count="2">
        <fieldUsage x="-1"/>
        <fieldUsage x="0"/>
      </fieldsUsage>
    </cacheHierarchy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6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</dimensions>
  <measureGroups count="5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iane AMOUSSOU" refreshedDate="46092.724342245368" backgroundQuery="1" createdVersion="8" refreshedVersion="8" minRefreshableVersion="3" recordCount="0" supportSubquery="1" supportAdvancedDrill="1" xr:uid="{8A4F9328-2A39-419E-812B-A2D1D661AF0B}">
  <cacheSource type="external" connectionId="1"/>
  <cacheFields count="3">
    <cacheField name="[listeVentes].[Catégorie].[Catégorie]" caption="Catégorie" numFmtId="0" hierarchy="17" level="1">
      <sharedItems count="4">
        <s v="Biscuits"/>
        <s v="Consoles"/>
        <s v="Electro"/>
        <s v="SmartPhone"/>
      </sharedItems>
    </cacheField>
    <cacheField name="[Measures].[Somme de Quantité 2]" caption="Somme de Quantité 2" numFmtId="0" hierarchy="34" level="32767"/>
    <cacheField name="[lesMois].[Mois].[Mois]" caption="Mois" numFmtId="0" hierarchy="1" level="1">
      <sharedItems containsSemiMixedTypes="0" containsNonDate="0" containsString="0"/>
    </cacheField>
  </cacheFields>
  <cacheHierarchies count="35"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2" memberValueDatatype="130" unbalanced="0">
      <fieldsUsage count="2">
        <fieldUsage x="-1"/>
        <fieldUsage x="0"/>
      </fieldsUsage>
    </cacheHierarchy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6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</dimensions>
  <measureGroups count="5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iane AMOUSSOU" refreshedDate="46092.724342824076" backgroundQuery="1" createdVersion="8" refreshedVersion="8" minRefreshableVersion="3" recordCount="0" supportSubquery="1" supportAdvancedDrill="1" xr:uid="{11795367-2986-427E-9216-886E27B81156}">
  <cacheSource type="external" connectionId="1"/>
  <cacheFields count="3">
    <cacheField name="[listeVentes].[Catégorie].[Catégorie]" caption="Catégorie" numFmtId="0" hierarchy="17" level="1">
      <sharedItems count="4">
        <s v="Biscuits"/>
        <s v="Consoles"/>
        <s v="Electro"/>
        <s v="SmartPhone"/>
      </sharedItems>
    </cacheField>
    <cacheField name="[Measures].[Somme de Total 2]" caption="Somme de Total 2" numFmtId="0" hierarchy="33" level="32767"/>
    <cacheField name="[lesMois].[Mois].[Mois]" caption="Mois" numFmtId="0" hierarchy="1" level="1">
      <sharedItems containsSemiMixedTypes="0" containsNonDate="0" containsString="0"/>
    </cacheField>
  </cacheFields>
  <cacheHierarchies count="35"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2" memberValueDatatype="130" unbalanced="0">
      <fieldsUsage count="2">
        <fieldUsage x="-1"/>
        <fieldUsage x="0"/>
      </fieldsUsage>
    </cacheHierarchy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6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</dimensions>
  <measureGroups count="5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iane AMOUSSOU" refreshedDate="46092.7243431713" backgroundQuery="1" createdVersion="8" refreshedVersion="8" minRefreshableVersion="3" recordCount="0" supportSubquery="1" supportAdvancedDrill="1" xr:uid="{5CC7DB9E-1D85-47A0-ABB9-C6B022D922AA}">
  <cacheSource type="external" connectionId="1"/>
  <cacheFields count="3">
    <cacheField name="[listeVentes].[Désignation].[Désignation]" caption="Désignation" numFmtId="0" hierarchy="16" level="1">
      <sharedItems count="3">
        <s v="Cuisinière CANDY"/>
        <s v="GOOGLE PIXEL 5"/>
        <s v="IPHONE 13 PRO"/>
      </sharedItems>
    </cacheField>
    <cacheField name="[Measures].[Somme de Total 2]" caption="Somme de Total 2" numFmtId="0" hierarchy="33" level="32767"/>
    <cacheField name="[lesMois].[Mois].[Mois]" caption="Mois" numFmtId="0" hierarchy="1" level="1">
      <sharedItems containsSemiMixedTypes="0" containsNonDate="0" containsString="0"/>
    </cacheField>
  </cacheFields>
  <cacheHierarchies count="35"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2" memberValueDatatype="130" unbalanced="0">
      <fieldsUsage count="2">
        <fieldUsage x="-1"/>
        <fieldUsage x="0"/>
      </fieldsUsage>
    </cacheHierarchy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6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Ventes" uniqueName="[listeVentes]" caption="listeVentes"/>
    <dimension measure="1" name="Measures" uniqueName="[Measures]" caption="Measures"/>
  </dimensions>
  <measureGroups count="5">
    <measureGroup name="lesCategories" caption="lesCategories"/>
    <measureGroup name="lesMois" caption="lesMois"/>
    <measureGroup name="lesReferences" caption="lesReferences"/>
    <measureGroup name="listeAchats" caption="listeAchats"/>
    <measureGroup name="listeVentes" caption="listeVentes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iane AMOUSSOU" refreshedDate="46091.682589814816" backgroundQuery="1" createdVersion="3" refreshedVersion="8" minRefreshableVersion="3" recordCount="0" supportSubquery="1" supportAdvancedDrill="1" xr:uid="{FF90E120-D625-40D7-BE02-9850864D8B15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5">
    <cacheHierarchy uniqueName="[lesCategories].[Catégories]" caption="Catégories" attribute="1" defaultMemberUniqueName="[lesCategories].[Catégories].[All]" allUniqueName="[lesCategories].[Catégories].[All]" dimensionUniqueName="[lesCategories]" displayFolder="" count="2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/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2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458907839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s v="S1"/>
    <x v="0"/>
    <x v="0"/>
    <s v="1 unité"/>
    <n v="10"/>
    <n v="20"/>
    <n v="55"/>
    <n v="60"/>
    <n v="15"/>
    <n v="599.4666666666667"/>
    <n v="8992"/>
    <x v="0"/>
  </r>
  <r>
    <s v="S2"/>
    <x v="1"/>
    <x v="0"/>
    <s v="1 unité"/>
    <n v="10"/>
    <n v="3"/>
    <n v="96"/>
    <n v="87"/>
    <n v="12"/>
    <n v="1400"/>
    <n v="16800"/>
    <x v="0"/>
  </r>
  <r>
    <s v="B1"/>
    <x v="2"/>
    <x v="1"/>
    <s v="1 unité "/>
    <n v="10"/>
    <n v="10"/>
    <n v="95"/>
    <n v="79"/>
    <n v="26"/>
    <n v="0.20904761904761907"/>
    <n v="5.4352380952380956"/>
    <x v="0"/>
  </r>
  <r>
    <s v="B2"/>
    <x v="2"/>
    <x v="1"/>
    <s v="Pack de 10 unités"/>
    <n v="50"/>
    <n v="15"/>
    <n v="147"/>
    <n v="64"/>
    <n v="98"/>
    <n v="2"/>
    <n v="196"/>
    <x v="0"/>
  </r>
  <r>
    <s v="B3"/>
    <x v="2"/>
    <x v="1"/>
    <s v="Pack de 20 unités"/>
    <n v="20"/>
    <n v="5"/>
    <n v="320"/>
    <n v="195"/>
    <n v="130"/>
    <n v="4"/>
    <n v="520"/>
    <x v="0"/>
  </r>
  <r>
    <s v="E1"/>
    <x v="3"/>
    <x v="2"/>
    <s v="1 unité"/>
    <n v="10"/>
    <n v="5"/>
    <n v="24"/>
    <n v="21"/>
    <n v="8"/>
    <n v="700"/>
    <n v="5600"/>
    <x v="1"/>
  </r>
  <r>
    <s v="E2"/>
    <x v="4"/>
    <x v="2"/>
    <s v="1 unité"/>
    <n v="10"/>
    <n v="3"/>
    <n v="40"/>
    <n v="24"/>
    <n v="19"/>
    <n v="300"/>
    <n v="5700"/>
    <x v="0"/>
  </r>
  <r>
    <s v="E3"/>
    <x v="5"/>
    <x v="2"/>
    <s v="1 unité"/>
    <n v="10"/>
    <n v="6"/>
    <n v="65"/>
    <n v="28"/>
    <n v="43"/>
    <n v="150"/>
    <n v="6450"/>
    <x v="0"/>
  </r>
  <r>
    <s v="E4"/>
    <x v="6"/>
    <x v="2"/>
    <s v="1 unité"/>
    <n v="10"/>
    <n v="0"/>
    <n v="60"/>
    <n v="60"/>
    <n v="0"/>
    <n v="500"/>
    <n v="0"/>
    <x v="2"/>
  </r>
  <r>
    <s v="C1"/>
    <x v="7"/>
    <x v="3"/>
    <s v="1 unité"/>
    <n v="10"/>
    <n v="3"/>
    <n v="50"/>
    <n v="40"/>
    <n v="13"/>
    <n v="751.88679245283015"/>
    <n v="9774.5283018867922"/>
    <x v="0"/>
  </r>
  <r>
    <s v="C2"/>
    <x v="8"/>
    <x v="3"/>
    <s v="1 unité"/>
    <n v="10"/>
    <n v="6"/>
    <n v="40"/>
    <n v="44"/>
    <n v="2"/>
    <n v="407.06521739130437"/>
    <n v="814.13043478260875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45817E-CD6C-4BE6-92ED-60293354C1C9}" name="statut" cacheId="2343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94:B98" firstHeaderRow="1" firstDataRow="1" firstDataCol="1" rowPageCount="1" colPageCount="1"/>
  <pivotFields count="12">
    <pivotField showAll="0"/>
    <pivotField axis="axisRow" showAll="0">
      <items count="10">
        <item x="6"/>
        <item x="5"/>
        <item x="0"/>
        <item x="1"/>
        <item x="8"/>
        <item x="2"/>
        <item x="7"/>
        <item x="4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numFmtId="164" showAll="0"/>
    <pivotField numFmtId="164" showAll="0"/>
    <pivotField axis="axisPage" multipleItemSelectionAllowed="1" showAll="0">
      <items count="4">
        <item x="2"/>
        <item x="1"/>
        <item h="1" x="0"/>
        <item t="default"/>
      </items>
    </pivotField>
  </pivotFields>
  <rowFields count="1">
    <field x="1"/>
  </rowFields>
  <rowItems count="4">
    <i>
      <x/>
    </i>
    <i>
      <x v="4"/>
    </i>
    <i>
      <x v="8"/>
    </i>
    <i t="grand">
      <x/>
    </i>
  </rowItems>
  <colItems count="1">
    <i/>
  </colItems>
  <pageFields count="1">
    <pageField fld="11" hier="-1"/>
  </pageFields>
  <dataFields count="1">
    <dataField name="Somme de Stock final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D67C90-7D04-4F65-83D1-D124E5F968C3}" name="TOP3" cacheId="244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3">
  <location ref="A84:B88" firstHeaderRow="1" firstDataRow="1" firstDataCol="1"/>
  <pivotFields count="3">
    <pivotField axis="axisRow" allDrilled="1" subtotalTop="0" showAll="0" measureFilter="1" sortType="a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me de Total" fld="1" baseField="0" baseItem="0" numFmtId="164"/>
  </dataFields>
  <formats count="1">
    <format dxfId="50">
      <pivotArea outline="0" collapsedLevelsAreSubtotals="1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5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count" id="1" iMeasureHier="33">
      <autoFilter ref="A1">
        <filterColumn colId="0">
          <top10 val="3" filterVal="3"/>
        </filterColumn>
      </autoFilter>
    </filter>
  </filters>
  <rowHierarchiesUsage count="1">
    <rowHierarchyUsage hierarchyUsage="1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5B60F8-15E3-406C-909F-C1AE4E395F73}" name="ValeurSortieMois" cacheId="208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0">
  <location ref="A76:C82" firstHeaderRow="0" firstDataRow="1" firstDataCol="1"/>
  <pivotFields count="5">
    <pivotField axis="axisRow" allDrilled="1" subtotalTop="0" showAll="0" dataSourceSort="1" defaultSubtotal="0" defaultAttributeDrillState="1">
      <items count="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</items>
    </pivotField>
    <pivotField axis="axisRow" allDrilled="1" subtotalTop="0" showAll="0" dataSourceSort="1" defaultSubtotal="0">
      <items count="5">
        <item x="0" e="0"/>
        <item x="1" e="0"/>
        <item x="2" e="0"/>
        <item x="3" e="0"/>
        <item x="4" e="0"/>
      </items>
    </pivotField>
    <pivotField dataField="1" subtotalTop="0" showAll="0" defaultSubtotal="0"/>
    <pivotField allDrilled="1" subtotalTop="0" showAll="0" dataSourceSort="1" defaultSubtotal="0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2">
    <field x="1"/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Total" fld="2" baseField="0" baseItem="0"/>
    <dataField name="Somme de Total2" fld="4" baseField="0" baseItem="0">
      <extLst>
        <ext xmlns:x14="http://schemas.microsoft.com/office/spreadsheetml/2009/9/main" uri="{E15A36E0-9728-4e99-A89B-3F7291B0FE68}">
          <x14:dataField sourceField="2" uniqueName="[__Xl2].[Measures].[Somme de Total 2]"/>
        </ext>
      </extLst>
    </dataField>
  </dataFields>
  <formats count="1">
    <format dxfId="53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6"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2">
    <rowHierarchyUsage hierarchyUsage="22"/>
    <rowHierarchyUsage hierarchyUsage="1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984C40-34F0-4C4B-837E-75FF038F3797}" name="ValeurENtreeMois" cacheId="2082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 chartFormat="6">
  <location ref="A68:C74" firstHeaderRow="0" firstDataRow="1" firstDataCol="1"/>
  <pivotFields count="5">
    <pivotField axis="axisRow" allDrilled="1" subtotalTop="0" showAll="0" dataSourceSort="1" defaultSubtotal="0" defaultAttributeDrillState="1">
      <items count="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</items>
    </pivotField>
    <pivotField axis="axisRow" allDrilled="1" subtotalTop="0" showAll="0" dataSourceSort="1" defaultSubtotal="0">
      <items count="5">
        <item x="0" e="0"/>
        <item x="1" e="0"/>
        <item x="2" e="0"/>
        <item x="3" e="0"/>
        <item x="4" e="0"/>
      </items>
    </pivotField>
    <pivotField dataField="1" subtotalTop="0" showAll="0" defaultSubtotal="0"/>
    <pivotField allDrilled="1" subtotalTop="0" showAll="0" dataSourceSort="1" defaultSubtotal="0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2">
    <field x="1"/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Total" fld="2" baseField="0" baseItem="0"/>
    <dataField name="Somme de Total2" fld="4" baseField="0" baseItem="0">
      <extLst>
        <ext xmlns:x14="http://schemas.microsoft.com/office/spreadsheetml/2009/9/main" uri="{E15A36E0-9728-4e99-A89B-3F7291B0FE68}">
          <x14:dataField sourceField="2" uniqueName="[__Xl2].[Measures].[Somme de Total]"/>
        </ext>
      </extLst>
    </dataField>
  </dataFields>
  <formats count="2">
    <format dxfId="51">
      <pivotArea outline="0" collapsedLevelsAreSubtotals="1" fieldPosition="0"/>
    </format>
    <format dxfId="5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6"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2">
    <rowHierarchyUsage hierarchyUsage="12"/>
    <rowHierarchyUsage hierarchyUsage="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Achats">
        <x15:activeTabTopLevelEntity name="[listeAcha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7F09CE-8D42-4969-9147-8FAB5AC587C4}" name="StockSortieMois" cacheId="2079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60:B66" firstHeaderRow="1" firstDataRow="1" firstDataCol="1"/>
  <pivotFields count="3">
    <pivotField axis="axisRow" allDrilled="1" subtotalTop="0" showAll="0" dataSourceSort="1" defaultSubtotal="0">
      <items count="5">
        <item x="0" e="0"/>
        <item x="1" e="0"/>
        <item x="2" e="0"/>
        <item x="3" e="0"/>
        <item x="4" e="0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me de Quantité" fld="1" baseField="0" baseItem="0"/>
  </dataFields>
  <pivotHierarchies count="35"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271C21-4F62-4868-A0DE-1C3BA2D1B144}" name="StcokEntreeMois" cacheId="2076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52:B58" firstHeaderRow="1" firstDataRow="1" firstDataCol="1"/>
  <pivotFields count="3">
    <pivotField axis="axisRow" allDrilled="1" subtotalTop="0" showAll="0" dataSourceSort="1" defaultSubtotal="0">
      <items count="5">
        <item x="0" e="0"/>
        <item x="1" e="0"/>
        <item x="2" e="0"/>
        <item x="3" e="0"/>
        <item x="4" e="0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me de Quantité" fld="1" baseField="0" baseItem="0"/>
  </dataFields>
  <pivotHierarchies count="35"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Achats">
        <x15:activeTabTopLevelEntity name="[listeAcha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368771-A085-40DB-9331-E67CDFC85FFB}" name="SortieValeurCategorie" cacheId="244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5">
  <location ref="A45:B50" firstHeaderRow="1" firstDataRow="1" firstDataCol="1"/>
  <pivotFields count="3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Total" fld="1" baseField="0" baseItem="0" numFmtId="164"/>
  </dataFields>
  <formats count="2">
    <format dxfId="104">
      <pivotArea collapsedLevelsAreSubtotals="1" fieldPosition="0">
        <references count="1">
          <reference field="0" count="0"/>
        </references>
      </pivotArea>
    </format>
    <format dxfId="103">
      <pivotArea outline="0" collapsedLevelsAreSubtotals="1" fieldPosition="0"/>
    </format>
  </format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35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DB6388-E2C5-4CF5-ACA7-5252E4E305B7}" name="SortieTotalCategorie" cacheId="244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8">
  <location ref="A38:B43" firstHeaderRow="1" firstDataRow="1" firstDataCol="1"/>
  <pivotFields count="3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Quantité" fld="1" baseField="0" baseItem="0"/>
  </dataFields>
  <chartFormats count="10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7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7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35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449F16-AC12-4186-A10F-89EF08B874C9}" name="TCD3" cacheId="2433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>
  <location ref="A7:B8" firstHeaderRow="0" firstDataRow="1" firstDataCol="0"/>
  <pivotFields count="3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Quantité" fld="0" baseField="0" baseItem="0"/>
    <dataField name="Somme de Total" fld="1" baseField="0" baseItem="0" numFmtId="43"/>
  </dataFields>
  <formats count="1">
    <format dxfId="4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Hierarchies count="35"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  <x15:activeTabTopLevelEntity name="[lesCategori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7BD994-3CDC-4ED7-887C-E279400EDCFA}" name="EntreeTotalCategorie" cacheId="2436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8">
  <location ref="A24:B29" firstHeaderRow="1" firstDataRow="1" firstDataCol="1"/>
  <pivotFields count="3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Quantité" fld="1" baseField="0" baseItem="0"/>
  </dataFields>
  <formats count="1">
    <format dxfId="105">
      <pivotArea collapsedLevelsAreSubtotals="1" fieldPosition="0">
        <references count="1">
          <reference field="0" count="0"/>
        </references>
      </pivotArea>
    </format>
  </formats>
  <chartFormats count="1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5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5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5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35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Achats">
        <x15:activeTabTopLevelEntity name="[listeAcha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22A964-6EAE-4243-896B-F6313BAE3BF0}" name="StockValeurCategorie" cacheId="2343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6">
  <location ref="A17:B22" firstHeaderRow="1" firstDataRow="1" firstDataCol="1"/>
  <pivotFields count="12">
    <pivotField showAll="0"/>
    <pivotField showAll="0"/>
    <pivotField axis="axisRow" showAll="0">
      <items count="5">
        <item x="1"/>
        <item x="3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numFmtId="164" showAll="0"/>
    <pivotField dataField="1" numFmtId="164"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Valeur" fld="10" baseField="0" baseItem="0" numFmtId="164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5848DD-1D3C-42BB-9B00-D50C2E9C2DCF}" name="EntreeValeurCategorie" cacheId="2439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 chartFormat="7">
  <location ref="A31:B36" firstHeaderRow="1" firstDataRow="1" firstDataCol="1"/>
  <pivotFields count="3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Total" fld="1" baseField="0" baseItem="0" numFmtId="164"/>
  </dataFields>
  <formats count="3">
    <format dxfId="108">
      <pivotArea collapsedLevelsAreSubtotals="1" fieldPosition="0">
        <references count="1">
          <reference field="0" count="0"/>
        </references>
      </pivotArea>
    </format>
    <format dxfId="107">
      <pivotArea grandRow="1" outline="0" collapsedLevelsAreSubtotals="1" fieldPosition="0"/>
    </format>
    <format dxfId="106">
      <pivotArea outline="0" collapsedLevelsAreSubtotals="1" fieldPosition="0"/>
    </format>
  </format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35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Achats">
        <x15:activeTabTopLevelEntity name="[listeAcha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49CD01-E5B0-4FA6-B091-595C509DD3B3}" name="StockTotalCategorie" cacheId="2343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0">
  <location ref="A10:B15" firstHeaderRow="1" firstDataRow="1" firstDataCol="1"/>
  <pivotFields count="12">
    <pivotField showAll="0"/>
    <pivotField showAll="0"/>
    <pivotField axis="axisRow" showAll="0">
      <items count="5">
        <item x="1"/>
        <item x="3"/>
        <item x="2"/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numFmtId="164" showAll="0"/>
    <pivotField numFmtId="164"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Stock final" fld="8" baseField="0" baseItem="0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54F8F2-9FBA-4996-8FF9-35751F677DF1}" name="TCD2" cacheId="2430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>
  <location ref="A4:B5" firstHeaderRow="0" firstDataRow="1" firstDataCol="0"/>
  <pivotFields count="3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Quantité" fld="0" baseField="0" baseItem="0"/>
    <dataField name="Somme de Total" fld="1" baseField="0" baseItem="0" numFmtId="43"/>
  </dataFields>
  <formats count="1">
    <format dxfId="4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Hierarchies count="35"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Achats">
        <x15:activeTabTopLevelEntity name="[listeAchats]"/>
        <x15:activeTabTopLevelEntity name="[lesCategories]"/>
        <x15:activeTabTopLevelEntity name="[lesReferenc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68CA83-EDAD-43B1-BE3D-745E9150ABB9}" name="Tableau croisé dynamique1" cacheId="2343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1:B2" firstHeaderRow="0" firstDataRow="1" firstDataCol="0"/>
  <pivotFields count="12"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4" showAll="0"/>
    <pivotField dataField="1" numFmtId="164" showAll="0"/>
    <pivotField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Stock final" fld="8" baseField="0" baseItem="0"/>
    <dataField name="Somme de Valeur" fld="10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tégories" xr10:uid="{193A4A4A-9729-4787-A86C-277CE4E7CA47}" sourceName="[lesCategories].[Catégories]">
  <pivotTables>
    <pivotTable tabId="14" name="TCD3"/>
    <pivotTable tabId="14" name="TCD2"/>
    <pivotTable tabId="14" name="StcokEntreeMois"/>
    <pivotTable tabId="14" name="StockSortieMois"/>
    <pivotTable tabId="14" name="ValeurENtreeMois"/>
    <pivotTable tabId="14" name="ValeurSortieMois"/>
  </pivotTables>
  <data>
    <olap pivotCacheId="458907839">
      <levels count="2">
        <level uniqueName="[lesCategories].[Catégories].[(All)]" sourceCaption="(All)" count="0"/>
        <level uniqueName="[lesCategories].[Catégories].[Catégories]" sourceCaption="Catégories" count="4">
          <ranges>
            <range startItem="0">
              <i n="[lesCategories].[Catégories].&amp;[Biscuits]" c="Biscuits"/>
              <i n="[lesCategories].[Catégories].&amp;[Consoles]" c="Consoles"/>
              <i n="[lesCategories].[Catégories].&amp;[Electro]" c="Electro"/>
              <i n="[lesCategories].[Catégories].&amp;[SmartPhone]" c="SmartPhone"/>
            </range>
          </ranges>
        </level>
      </levels>
      <selections count="1">
        <selection n="[lesCategories].[Catégories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Références" xr10:uid="{33D00A3F-6427-425A-8305-B613C6963FEE}" sourceName="[lesReferences].[Références]">
  <pivotTables>
    <pivotTable tabId="14" name="TCD2"/>
    <pivotTable tabId="14" name="TCD3"/>
    <pivotTable tabId="14" name="StcokEntreeMois"/>
    <pivotTable tabId="14" name="StockSortieMois"/>
    <pivotTable tabId="14" name="ValeurENtreeMois"/>
    <pivotTable tabId="14" name="ValeurSortieMois"/>
  </pivotTables>
  <data>
    <olap pivotCacheId="458907839">
      <levels count="2">
        <level uniqueName="[lesReferences].[Références].[(All)]" sourceCaption="(All)" count="0"/>
        <level uniqueName="[lesReferences].[Références].[Références]" sourceCaption="Références" count="11">
          <ranges>
            <range startItem="0">
              <i n="[lesReferences].[Références].&amp;[B1]" c="B1"/>
              <i n="[lesReferences].[Références].&amp;[B2]" c="B2"/>
              <i n="[lesReferences].[Références].&amp;[B3]" c="B3"/>
              <i n="[lesReferences].[Références].&amp;[C1]" c="C1"/>
              <i n="[lesReferences].[Références].&amp;[C2]" c="C2"/>
              <i n="[lesReferences].[Références].&amp;[E1]" c="E1"/>
              <i n="[lesReferences].[Références].&amp;[E2]" c="E2"/>
              <i n="[lesReferences].[Références].&amp;[E3]" c="E3"/>
              <i n="[lesReferences].[Références].&amp;[E4]" c="E4"/>
              <i n="[lesReferences].[Références].&amp;[S1]" c="S1"/>
              <i n="[lesReferences].[Références].&amp;[S2]" c="S2"/>
            </range>
          </ranges>
        </level>
      </levels>
      <selections count="1">
        <selection n="[lesReferences].[Références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is" xr10:uid="{74008913-2C4A-4EDD-A34A-96A1C9841B02}" sourceName="[lesMois].[Mois]">
  <pivotTables>
    <pivotTable tabId="14" name="TCD2"/>
    <pivotTable tabId="14" name="TCD3"/>
    <pivotTable tabId="14" name="EntreeTotalCategorie"/>
    <pivotTable tabId="14" name="EntreeValeurCategorie"/>
    <pivotTable tabId="14" name="SortieTotalCategorie"/>
    <pivotTable tabId="14" name="SortieValeurCategorie"/>
    <pivotTable tabId="14" name="TOP3"/>
  </pivotTables>
  <data>
    <olap pivotCacheId="458907839">
      <levels count="2">
        <level uniqueName="[lesMois].[Mois].[(All)]" sourceCaption="(All)" count="0"/>
        <level uniqueName="[lesMois].[Mois].[Mois]" sourceCaption="Mois" count="5">
          <ranges>
            <range startItem="0">
              <i n="[lesMois].[Mois].&amp;[avr]" c="avr"/>
              <i n="[lesMois].[Mois].&amp;[févr]" c="févr"/>
              <i n="[lesMois].[Mois].&amp;[janv]" c="janv"/>
              <i n="[lesMois].[Mois].&amp;[mai]" c="mai"/>
              <i n="[lesMois].[Mois].&amp;[mars]" c="mars"/>
            </range>
          </ranges>
        </level>
      </levels>
      <selections count="1">
        <selection n="[lesMois].[Mois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égories 1" xr10:uid="{AF9E67C3-8975-44AF-A54E-0A07099EED88}" cache="Segment_Catégories" caption="Catégories" level="1" style="Style2" rowHeight="241300"/>
  <slicer name="Références 1" xr10:uid="{94586BC7-EA4C-452D-B84D-C69AF54C240C}" cache="Segment_Références" caption="Références" columnCount="3" level="1" style="Style2" rowHeight="241300"/>
  <slicer name="Mois 1" xr10:uid="{2E5FDD09-7F43-4812-BBBD-BC54FBFE9594}" cache="Segment_Mois" caption="Mois" columnCount="2" level="1" style="Style2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égories" xr10:uid="{16CF3DFC-1761-4440-983F-16691762F200}" cache="Segment_Catégories" caption="Catégories" level="1" rowHeight="241300"/>
  <slicer name="Références" xr10:uid="{D015A867-9DA9-40E4-B074-524DEB1E15B8}" cache="Segment_Références" caption="Références" columnCount="3" level="1" rowHeight="241300"/>
  <slicer name="Mois" xr10:uid="{F8296EA5-25F6-4CCA-9B2B-A7E1391DA34C}" cache="Segment_Mois" caption="Mois" level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B7ADDF-8724-4FBD-A21F-3CA7E69BDD54}" name="listeProduits" displayName="listeProduits" ref="C14:J25" totalsRowShown="0" headerRowDxfId="102" dataDxfId="101">
  <autoFilter ref="C14:J25" xr:uid="{7DBD995E-9056-48FE-A692-A1C33325CB75}"/>
  <tableColumns count="8">
    <tableColumn id="1" xr3:uid="{0229BEFB-2762-4DD6-BE9F-BB731D9D2550}" name="Référence" dataDxfId="100"/>
    <tableColumn id="2" xr3:uid="{69181FD6-241F-48AC-8770-FD360A3A5D09}" name="Désignation" dataDxfId="99"/>
    <tableColumn id="3" xr3:uid="{653A60CB-48A1-4B6B-8CEE-A19375500291}" name="Catégorie" dataDxfId="98"/>
    <tableColumn id="4" xr3:uid="{57170E49-5279-4228-9CCA-87DFA972F364}" name="Unité" dataDxfId="97"/>
    <tableColumn id="8" xr3:uid="{56D46FC4-26DA-485D-BF6A-955386E6D988}" name="Seuil d'alerte" dataDxfId="96"/>
    <tableColumn id="7" xr3:uid="{98C0B310-9549-478B-9F9D-EE31A9EAA7C3}" name="Stock initial" dataDxfId="95"/>
    <tableColumn id="6" xr3:uid="{67E0BD55-1F7C-4945-860F-0026DA4965D6}" name="Prix unitaire" dataDxfId="94"/>
    <tableColumn id="5" xr3:uid="{8794DDBC-18EB-4B0A-B625-070918D096DB}" name="Total" dataDxfId="93">
      <calculatedColumnFormula>listeProduits[[#This Row],[Stock initial]]*listeProduits[[#This Row],[Prix unitaire]]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010C46-8DEB-4521-8D5A-D81198D89F82}" name="listeAchats" displayName="listeAchats" ref="C6:K63" totalsRowShown="0" headerRowDxfId="92" dataDxfId="91">
  <autoFilter ref="C6:K63" xr:uid="{FBC92809-A0A3-41BD-BD6B-A1A48E41444F}"/>
  <tableColumns count="9">
    <tableColumn id="1" xr3:uid="{6036FD50-7731-4593-8EAC-FADBAEF83BAB}" name="Numéro" dataDxfId="90"/>
    <tableColumn id="10" xr3:uid="{BC77A533-7FE4-4F09-9092-C2700BC2AB71}" name="Date" dataDxfId="89"/>
    <tableColumn id="9" xr3:uid="{FA449DF7-B3D0-4548-A945-06B4965F1B20}" name="Référence" dataDxfId="88"/>
    <tableColumn id="8" xr3:uid="{77AECE20-D510-423B-9DCF-36C61FAC7276}" name="Désignation" dataDxfId="87"/>
    <tableColumn id="7" xr3:uid="{6855B33D-4745-4741-9779-09D7B20EEC1A}" name="Catégorie" dataDxfId="86"/>
    <tableColumn id="6" xr3:uid="{AA238DD9-AF59-4091-9793-9DF7C13A007B}" name="Unité" dataDxfId="85"/>
    <tableColumn id="5" xr3:uid="{F95BCB2C-A98F-4257-8D0B-F4750BE5D00E}" name="Coût d'achat" dataDxfId="84"/>
    <tableColumn id="2" xr3:uid="{E7797A9D-C487-4F25-A92A-49779B14AD1C}" name="Quantité" dataDxfId="83"/>
    <tableColumn id="3" xr3:uid="{9481A671-1A37-48FD-9423-3882301CDABC}" name="Total" dataDxfId="82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B97AFBA-9F9F-4CDC-BE43-538AF748D910}" name="listeVentes" displayName="listeVentes" ref="C6:K66" totalsRowShown="0" headerRowDxfId="81" dataDxfId="80">
  <autoFilter ref="C6:K66" xr:uid="{22FDADE4-02FF-46E6-AF6F-3871B013E254}"/>
  <tableColumns count="9">
    <tableColumn id="1" xr3:uid="{E27792E8-AD65-44DE-8928-F2F127115287}" name="Numéro" dataDxfId="79"/>
    <tableColumn id="10" xr3:uid="{504282B1-4D3E-4C1A-8AFC-FF1D140BEC81}" name="Date" dataDxfId="78"/>
    <tableColumn id="9" xr3:uid="{27CE6545-277D-4C40-B1C0-FFE9AF03D9A8}" name="Référence" dataDxfId="77"/>
    <tableColumn id="8" xr3:uid="{928709BF-CA60-40E2-A381-29FB9C39540F}" name="Désignation" dataDxfId="76"/>
    <tableColumn id="7" xr3:uid="{CCD6BBBF-AAC8-49F6-942E-F736F510C7D5}" name="Catégorie" dataDxfId="75"/>
    <tableColumn id="6" xr3:uid="{F1857E15-A99F-4799-83EE-E2F326BE1821}" name="Unité" dataDxfId="74"/>
    <tableColumn id="5" xr3:uid="{4234A30E-AFCB-4635-A3CC-009F32C5B30B}" name="Prix de vente" dataDxfId="73"/>
    <tableColumn id="2" xr3:uid="{29E2188B-82CC-4864-AAEB-AAD3346C18B8}" name="Quantité" dataDxfId="72"/>
    <tableColumn id="3" xr3:uid="{71262398-BBBF-4CDF-A096-8F3BD034ADF1}" name="Total" dataDxfId="7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F327331-FCE2-47EC-AC7A-264D45049CD5}" name="listeInventaire" displayName="listeInventaire" ref="C5:N16" totalsRowShown="0" headerRowDxfId="70" dataDxfId="68" headerRowBorderDxfId="69" tableBorderDxfId="67" totalsRowBorderDxfId="66">
  <autoFilter ref="C5:N16" xr:uid="{9461CF19-655C-4501-BCB1-5A2CB4358DAD}"/>
  <tableColumns count="12">
    <tableColumn id="1" xr3:uid="{CE917253-C0E9-4992-B8E4-4F53EBB1ED59}" name="Référence" dataDxfId="65"/>
    <tableColumn id="10" xr3:uid="{9D6FDADB-9941-4A3B-A0F4-718BC2EDC925}" name="Désignation" dataDxfId="64">
      <calculatedColumnFormula>IFERROR(VLOOKUP(listeInventaire[[#This Row],[Référence]],listeProduits[],2,FALSE),"")</calculatedColumnFormula>
    </tableColumn>
    <tableColumn id="9" xr3:uid="{3376FBB9-D02F-455F-86C4-3310A3C29B92}" name="Catégorie" dataDxfId="63">
      <calculatedColumnFormula>IFERROR(VLOOKUP(listeInventaire[[#This Row],[Référence]],listeProduits[],3,FALSE),"")</calculatedColumnFormula>
    </tableColumn>
    <tableColumn id="8" xr3:uid="{9006CB1C-F6E0-426E-B742-25F3F970B0C6}" name="Unité" dataDxfId="62">
      <calculatedColumnFormula>IFERROR(VLOOKUP(listeInventaire[[#This Row],[Référence]],listeProduits[],4,FALSE),"")</calculatedColumnFormula>
    </tableColumn>
    <tableColumn id="14" xr3:uid="{DD7C1828-E2CA-42B9-B2CD-5549891AFF53}" name="Seuil d'alerte" dataDxfId="61">
      <calculatedColumnFormula>IFERROR(VLOOKUP(listeInventaire[[#This Row],[Référence]],listeProduits[],5,FALSE),"")</calculatedColumnFormula>
    </tableColumn>
    <tableColumn id="7" xr3:uid="{9FE58FD7-B33E-40D5-81AE-9971B77BF32A}" name="Stock initial" dataDxfId="60">
      <calculatedColumnFormula>IFERROR(VLOOKUP(listeInventaire[[#This Row],[Référence]],listeProduits[],6,FALSE),"")</calculatedColumnFormula>
    </tableColumn>
    <tableColumn id="6" xr3:uid="{7C4F6B98-BCBF-4D26-9642-E5447B396DDE}" name="Entrées" dataDxfId="59">
      <calculatedColumnFormula>SUMIF(listeAchats[Référence],listeInventaire[[#This Row],[Référence]],listeAchats[Quantité])</calculatedColumnFormula>
    </tableColumn>
    <tableColumn id="5" xr3:uid="{83CEEEA7-DB99-46BB-853A-34782B692876}" name="Sorties" dataDxfId="58">
      <calculatedColumnFormula>SUMIF(listeVentes[Référence],listeInventaire[[#This Row],[Référence]],listeVentes[Quantité])</calculatedColumnFormula>
    </tableColumn>
    <tableColumn id="11" xr3:uid="{5C858EA5-5FE3-48B7-9F7A-2459D826E103}" name="Stock final" dataDxfId="57">
      <calculatedColumnFormula>IFERROR(listeInventaire[[#This Row],[Stock initial]]+listeInventaire[[#This Row],[Entrées]]-listeInventaire[[#This Row],[Sorties]],"")</calculatedColumnFormula>
    </tableColumn>
    <tableColumn id="2" xr3:uid="{1AB82886-951E-490A-9714-0FED7CFCE89D}" name="CUMP" dataDxfId="56">
      <calculatedColumnFormula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calculatedColumnFormula>
    </tableColumn>
    <tableColumn id="13" xr3:uid="{B0301882-199A-4893-A4CD-746DD8B61B43}" name="Valeur" dataDxfId="55">
      <calculatedColumnFormula>IFERROR(listeInventaire[[#This Row],[Stock final]]*listeInventaire[[#This Row],[CUMP]],"")</calculatedColumnFormula>
    </tableColumn>
    <tableColumn id="3" xr3:uid="{D0316544-D8F0-4DB7-90A1-1C10BB3C8D00}" name="Statue" dataDxfId="54">
      <calculatedColumnFormula>IF(listeInventaire[[#This Row],[Stock final]]&gt;listeInventaire[[#This Row],[Seuil d''alerte]],"Stock normal",IF(listeInventaire[[#This Row],[Stock final]]=0,"Non disponible","Stock faible"))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E9ED588-BD9F-47AC-83C0-B26351A13EAA}" name="lesReferences" displayName="lesReferences" ref="I1:I13" totalsRowShown="0">
  <autoFilter ref="I1:I13" xr:uid="{5E9ED588-BD9F-47AC-83C0-B26351A13EAA}"/>
  <tableColumns count="1">
    <tableColumn id="1" xr3:uid="{5FF423AE-3A73-4852-A884-476D8CC9E110}" name="Référenc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9AE1A02-1843-4F97-9677-AC23CF34CC65}" name="lesCategories" displayName="lesCategories" ref="G1:G5" totalsRowShown="0">
  <autoFilter ref="G1:G5" xr:uid="{89AE1A02-1843-4F97-9677-AC23CF34CC65}"/>
  <tableColumns count="1">
    <tableColumn id="1" xr3:uid="{94B8F45F-193B-4193-86C1-44C1F0FF0972}" name="Catégori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873741D-381A-4395-BC5E-7A8731254843}" name="lesMois" displayName="lesMois" ref="K1:K6" totalsRowShown="0">
  <autoFilter ref="K1:K6" xr:uid="{C873741D-381A-4395-BC5E-7A8731254843}"/>
  <tableColumns count="1">
    <tableColumn id="1" xr3:uid="{983497EB-C4F7-4CE9-8988-BE3859A4B488}" name="Moi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Personnalisé 6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F46BA"/>
      </a:accent1>
      <a:accent2>
        <a:srgbClr val="F9896B"/>
      </a:accent2>
      <a:accent3>
        <a:srgbClr val="84E8F4"/>
      </a:accent3>
      <a:accent4>
        <a:srgbClr val="FDBC64"/>
      </a:accent4>
      <a:accent5>
        <a:srgbClr val="6D6D6D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table" Target="../tables/table6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table" Target="../tables/table5.xml"/><Relationship Id="rId2" Type="http://schemas.openxmlformats.org/officeDocument/2006/relationships/pivotTable" Target="../pivotTables/pivotTable2.xml"/><Relationship Id="rId16" Type="http://schemas.openxmlformats.org/officeDocument/2006/relationships/drawing" Target="../drawings/drawing4.xml"/><Relationship Id="rId20" Type="http://schemas.microsoft.com/office/2007/relationships/slicer" Target="../slicers/slicer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7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2ABE8-3412-4BFD-B814-458784D4D1EB}">
  <sheetPr codeName="Feuil1"/>
  <dimension ref="C1:U58"/>
  <sheetViews>
    <sheetView showGridLines="0" tabSelected="1" zoomScaleNormal="100" workbookViewId="0">
      <selection activeCell="C11" sqref="C11"/>
    </sheetView>
  </sheetViews>
  <sheetFormatPr baseColWidth="10" defaultRowHeight="15"/>
  <cols>
    <col min="2" max="2" width="14.7109375" customWidth="1"/>
  </cols>
  <sheetData>
    <row r="1" spans="3:21"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60" t="s">
        <v>90</v>
      </c>
      <c r="Q1" s="60"/>
      <c r="R1" s="61">
        <v>46092</v>
      </c>
      <c r="S1" s="47"/>
      <c r="T1" s="47"/>
      <c r="U1" s="47"/>
    </row>
    <row r="2" spans="3:21"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60"/>
      <c r="Q2" s="60"/>
      <c r="R2" s="61"/>
      <c r="S2" s="47"/>
      <c r="T2" s="47"/>
      <c r="U2" s="47"/>
    </row>
    <row r="3" spans="3:21"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</row>
    <row r="4" spans="3:21"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</row>
    <row r="5" spans="3:21"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</row>
    <row r="6" spans="3:21"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</row>
    <row r="7" spans="3:21"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</row>
    <row r="8" spans="3:21"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</row>
    <row r="9" spans="3:21"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</row>
    <row r="10" spans="3:21"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</row>
    <row r="11" spans="3:21"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</row>
    <row r="12" spans="3:21"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</row>
    <row r="13" spans="3:21"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</row>
    <row r="14" spans="3:21"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</row>
    <row r="15" spans="3:21"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</row>
    <row r="16" spans="3:21"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</row>
    <row r="17" spans="3:21"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</row>
    <row r="18" spans="3:21"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</row>
    <row r="19" spans="3:21"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</row>
    <row r="20" spans="3:21"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</row>
    <row r="21" spans="3:21"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</row>
    <row r="22" spans="3:21"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</row>
    <row r="23" spans="3:21"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</row>
    <row r="24" spans="3:21"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</row>
    <row r="25" spans="3:21"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</row>
    <row r="26" spans="3:21"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</row>
    <row r="27" spans="3:21"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</row>
    <row r="28" spans="3:21"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</row>
    <row r="29" spans="3:21"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</row>
    <row r="30" spans="3:21"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</row>
    <row r="31" spans="3:21"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</row>
    <row r="32" spans="3:21"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</row>
    <row r="33" spans="3:21"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</row>
    <row r="34" spans="3:21"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</row>
    <row r="35" spans="3:21"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</row>
    <row r="36" spans="3:21"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</row>
    <row r="37" spans="3:21"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</row>
    <row r="38" spans="3:21"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</row>
    <row r="39" spans="3:21" ht="12.75" customHeight="1"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</row>
    <row r="40" spans="3:21" hidden="1"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</row>
    <row r="41" spans="3:21" hidden="1"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</row>
    <row r="42" spans="3:21" hidden="1"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</row>
    <row r="43" spans="3:21" hidden="1"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</row>
    <row r="44" spans="3:21" hidden="1"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</row>
    <row r="45" spans="3:21" hidden="1"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</row>
    <row r="46" spans="3:21" hidden="1"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</row>
    <row r="47" spans="3:21" hidden="1"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</row>
    <row r="48" spans="3:21" hidden="1"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</row>
    <row r="49" spans="3:21" hidden="1"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</row>
    <row r="50" spans="3:21" hidden="1"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</row>
    <row r="51" spans="3:21" hidden="1"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</row>
    <row r="52" spans="3:21" hidden="1"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</row>
    <row r="53" spans="3:21" hidden="1"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</row>
    <row r="54" spans="3:21" hidden="1"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</row>
    <row r="55" spans="3:21" hidden="1"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</row>
    <row r="56" spans="3:21" hidden="1"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</row>
    <row r="57" spans="3:21" hidden="1"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</row>
    <row r="58" spans="3:21" hidden="1"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</row>
  </sheetData>
  <mergeCells count="2">
    <mergeCell ref="R1:R2"/>
    <mergeCell ref="P1:Q2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5FA8B-24D8-47B8-8751-B19C5B27AA59}">
  <sheetPr codeName="Feuil5"/>
  <dimension ref="A1:P19"/>
  <sheetViews>
    <sheetView showGridLines="0" topLeftCell="B1" zoomScale="130" zoomScaleNormal="130" workbookViewId="0">
      <selection activeCell="G26" sqref="G26"/>
    </sheetView>
  </sheetViews>
  <sheetFormatPr baseColWidth="10" defaultColWidth="8.85546875" defaultRowHeight="15"/>
  <cols>
    <col min="1" max="5" width="8.85546875" style="1"/>
    <col min="6" max="6" width="7.7109375" style="1" customWidth="1"/>
    <col min="7" max="7" width="29.7109375" style="1" customWidth="1"/>
    <col min="8" max="8" width="8.85546875" style="1" customWidth="1"/>
    <col min="9" max="9" width="25" style="1" customWidth="1"/>
    <col min="10" max="10" width="7.7109375" style="1" customWidth="1"/>
    <col min="11" max="16384" width="8.85546875" style="1"/>
  </cols>
  <sheetData>
    <row r="1" spans="1:16" ht="18.600000000000001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6" ht="15" customHeight="1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6" ht="26.45" customHeight="1">
      <c r="A3" s="5"/>
      <c r="B3" s="5"/>
      <c r="C3" s="5"/>
      <c r="D3" s="5"/>
      <c r="E3" s="5"/>
      <c r="F3" s="2"/>
      <c r="G3" s="9" t="s">
        <v>17</v>
      </c>
      <c r="H3" s="3"/>
      <c r="I3" s="3"/>
      <c r="J3" s="2"/>
      <c r="K3" s="5"/>
      <c r="L3" s="5"/>
      <c r="M3" s="5"/>
      <c r="N3" s="5"/>
      <c r="O3" s="5"/>
      <c r="P3" s="5"/>
    </row>
    <row r="4" spans="1:16" ht="17.45" customHeight="1">
      <c r="F4" s="2"/>
      <c r="G4" s="53" t="s">
        <v>28</v>
      </c>
      <c r="H4" s="53"/>
      <c r="I4" s="53"/>
      <c r="J4" s="2"/>
    </row>
    <row r="5" spans="1:16" ht="10.15" customHeight="1">
      <c r="F5" s="2"/>
      <c r="G5" s="2"/>
      <c r="H5" s="3"/>
      <c r="I5" s="3"/>
      <c r="J5" s="2"/>
    </row>
    <row r="6" spans="1:16" ht="16.149999999999999" customHeight="1">
      <c r="F6" s="2"/>
      <c r="G6" s="32" t="s">
        <v>31</v>
      </c>
      <c r="H6" s="2"/>
      <c r="I6" s="32" t="s">
        <v>2</v>
      </c>
      <c r="J6" s="2"/>
    </row>
    <row r="7" spans="1:16" ht="22.15" customHeight="1">
      <c r="F7" s="2"/>
      <c r="G7" s="28" t="s">
        <v>55</v>
      </c>
      <c r="H7" s="2"/>
      <c r="I7" s="31">
        <v>46092</v>
      </c>
      <c r="J7" s="2"/>
    </row>
    <row r="8" spans="1:16" ht="16.149999999999999" customHeight="1">
      <c r="F8" s="2"/>
      <c r="G8" s="2"/>
      <c r="H8" s="2"/>
      <c r="I8" s="2"/>
      <c r="J8" s="2"/>
    </row>
    <row r="9" spans="1:16" ht="16.149999999999999" customHeight="1">
      <c r="F9" s="2"/>
      <c r="G9" s="32" t="s">
        <v>30</v>
      </c>
      <c r="H9" s="2"/>
      <c r="I9" s="32" t="s">
        <v>9</v>
      </c>
      <c r="J9" s="2"/>
    </row>
    <row r="10" spans="1:16" ht="22.15" customHeight="1">
      <c r="F10" s="2"/>
      <c r="G10" s="28" t="str">
        <f>IFERROR(VLOOKUP(G7,listeProduits[],2,FALSE),"")</f>
        <v>Oreo</v>
      </c>
      <c r="H10" s="2"/>
      <c r="I10" s="30">
        <v>10</v>
      </c>
      <c r="J10" s="2"/>
    </row>
    <row r="11" spans="1:16" ht="16.149999999999999" customHeight="1">
      <c r="F11" s="2"/>
      <c r="G11" s="2"/>
      <c r="H11" s="2"/>
      <c r="I11" s="2"/>
      <c r="J11" s="2"/>
    </row>
    <row r="12" spans="1:16" ht="16.149999999999999" customHeight="1">
      <c r="F12" s="2"/>
      <c r="G12" s="32" t="s">
        <v>29</v>
      </c>
      <c r="H12" s="2"/>
      <c r="I12" s="32" t="s">
        <v>33</v>
      </c>
      <c r="J12" s="2"/>
    </row>
    <row r="13" spans="1:16" ht="22.15" customHeight="1">
      <c r="F13" s="2"/>
      <c r="G13" s="28" t="str">
        <f>IFERROR(VLOOKUP(G7,listeProduits[],3,FALSE),"")</f>
        <v xml:space="preserve">Biscuits </v>
      </c>
      <c r="H13" s="2"/>
      <c r="I13" s="29">
        <v>10</v>
      </c>
      <c r="J13" s="2"/>
    </row>
    <row r="14" spans="1:16" ht="16.149999999999999" customHeight="1">
      <c r="F14" s="2"/>
      <c r="G14" s="2"/>
      <c r="H14" s="2"/>
      <c r="I14" s="2"/>
      <c r="J14" s="2"/>
    </row>
    <row r="15" spans="1:16" ht="16.149999999999999" customHeight="1">
      <c r="F15" s="2"/>
      <c r="G15" s="32" t="s">
        <v>8</v>
      </c>
      <c r="H15" s="2"/>
      <c r="I15" s="32" t="s">
        <v>6</v>
      </c>
      <c r="J15" s="2"/>
    </row>
    <row r="16" spans="1:16" ht="22.15" customHeight="1">
      <c r="F16" s="2"/>
      <c r="G16" s="28" t="str">
        <f>IFERROR(VLOOKUP(G7,listeProduits[],4,FALSE),"")</f>
        <v>Pack de 10 unités</v>
      </c>
      <c r="H16" s="2"/>
      <c r="I16" s="33">
        <f>I10*I13</f>
        <v>100</v>
      </c>
      <c r="J16" s="2"/>
    </row>
    <row r="17" spans="6:10" ht="16.149999999999999" customHeight="1">
      <c r="F17" s="2"/>
      <c r="G17" s="7"/>
      <c r="H17" s="2"/>
      <c r="I17" s="2"/>
      <c r="J17" s="2"/>
    </row>
    <row r="18" spans="6:10" ht="22.15" customHeight="1">
      <c r="F18" s="2"/>
      <c r="G18" s="2"/>
      <c r="H18" s="2"/>
      <c r="I18" s="2"/>
      <c r="J18" s="2"/>
    </row>
    <row r="19" spans="6:10" ht="17.45" customHeight="1">
      <c r="F19" s="2"/>
      <c r="G19" s="2"/>
      <c r="H19" s="2"/>
      <c r="I19" s="2"/>
      <c r="J19" s="2"/>
    </row>
  </sheetData>
  <mergeCells count="1">
    <mergeCell ref="G4:I4"/>
  </mergeCells>
  <dataValidations count="1">
    <dataValidation type="date" operator="greaterThan" allowBlank="1" showInputMessage="1" showErrorMessage="1" error="Veuillez saisir une date correcte" sqref="I7" xr:uid="{43724A14-38E0-4E71-97D0-093663A523AB}">
      <formula1>44561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BDFC9-46C5-4D9C-81D5-B08E2915CCD3}">
  <sheetPr codeName="Feuil8"/>
  <dimension ref="A1:N31"/>
  <sheetViews>
    <sheetView showGridLines="0" zoomScale="115" zoomScaleNormal="115" workbookViewId="0">
      <selection activeCell="G11" sqref="G11"/>
    </sheetView>
  </sheetViews>
  <sheetFormatPr baseColWidth="10" defaultColWidth="8.85546875" defaultRowHeight="15"/>
  <cols>
    <col min="1" max="1" width="11.7109375" style="1" customWidth="1"/>
    <col min="2" max="2" width="7.7109375" style="1" customWidth="1"/>
    <col min="3" max="3" width="15.140625" style="1" customWidth="1"/>
    <col min="4" max="4" width="31.28515625" style="1" customWidth="1"/>
    <col min="5" max="5" width="20" style="1" customWidth="1"/>
    <col min="6" max="6" width="20.5703125" style="1" customWidth="1"/>
    <col min="7" max="7" width="14.140625" style="1" customWidth="1"/>
    <col min="8" max="8" width="13.28515625" style="1" customWidth="1"/>
    <col min="9" max="9" width="13" style="1" customWidth="1"/>
    <col min="10" max="10" width="14" style="1" customWidth="1"/>
    <col min="11" max="11" width="7.7109375" style="1" customWidth="1"/>
    <col min="12" max="17" width="11.7109375" style="1" customWidth="1"/>
    <col min="18" max="19" width="9.7109375" style="1" customWidth="1"/>
    <col min="20" max="16384" width="8.85546875" style="1"/>
  </cols>
  <sheetData>
    <row r="1" spans="1:14" ht="22.15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 ht="13.9" customHeight="1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4" ht="26.45" customHeight="1">
      <c r="A3" s="5"/>
      <c r="B3" s="2"/>
      <c r="C3" s="54" t="s">
        <v>42</v>
      </c>
      <c r="D3" s="54"/>
      <c r="E3" s="54"/>
      <c r="F3" s="8"/>
      <c r="G3" s="8"/>
      <c r="H3" s="8"/>
      <c r="I3" s="8"/>
      <c r="J3" s="3"/>
      <c r="K3" s="2"/>
      <c r="L3" s="5"/>
      <c r="M3" s="5"/>
      <c r="N3" s="5"/>
    </row>
    <row r="4" spans="1:14" ht="15" customHeight="1">
      <c r="B4" s="2"/>
      <c r="C4" s="53" t="s">
        <v>48</v>
      </c>
      <c r="D4" s="53"/>
      <c r="E4" s="11"/>
      <c r="F4" s="11"/>
      <c r="G4" s="11"/>
      <c r="H4" s="11"/>
      <c r="I4" s="11"/>
      <c r="J4" s="11"/>
      <c r="K4" s="2"/>
      <c r="L4" s="5"/>
      <c r="M4" s="5"/>
      <c r="N4" s="5"/>
    </row>
    <row r="5" spans="1:14" ht="15.75" thickBot="1">
      <c r="B5" s="2"/>
      <c r="C5" s="2"/>
      <c r="D5" s="2"/>
      <c r="E5" s="2"/>
      <c r="F5" s="2"/>
      <c r="G5" s="2"/>
      <c r="H5" s="2"/>
      <c r="I5" s="2"/>
      <c r="J5" s="3"/>
      <c r="K5" s="2"/>
    </row>
    <row r="6" spans="1:14" ht="18" customHeight="1" thickTop="1" thickBot="1">
      <c r="B6" s="2"/>
      <c r="C6" s="25" t="s">
        <v>14</v>
      </c>
      <c r="D6" s="42"/>
      <c r="E6" s="27" t="s">
        <v>25</v>
      </c>
      <c r="F6" s="42">
        <v>0</v>
      </c>
      <c r="G6" s="2"/>
      <c r="H6" s="2"/>
      <c r="I6" s="2"/>
      <c r="J6" s="2"/>
      <c r="K6" s="2"/>
    </row>
    <row r="7" spans="1:14" ht="18" customHeight="1" thickTop="1" thickBot="1">
      <c r="B7" s="2"/>
      <c r="C7" s="26" t="s">
        <v>0</v>
      </c>
      <c r="D7" s="42"/>
      <c r="E7" s="25" t="s">
        <v>26</v>
      </c>
      <c r="F7" s="42">
        <v>0</v>
      </c>
      <c r="G7" s="2"/>
      <c r="H7" s="2"/>
      <c r="I7" s="2"/>
      <c r="J7" s="2"/>
      <c r="K7" s="2"/>
    </row>
    <row r="8" spans="1:14" ht="18" customHeight="1" thickTop="1" thickBot="1">
      <c r="B8" s="2"/>
      <c r="C8" s="26" t="s">
        <v>15</v>
      </c>
      <c r="D8" s="42"/>
      <c r="E8" s="25" t="s">
        <v>27</v>
      </c>
      <c r="F8" s="44">
        <v>0</v>
      </c>
      <c r="G8" s="2"/>
      <c r="H8" s="2"/>
      <c r="I8" s="2"/>
      <c r="J8" s="2"/>
      <c r="K8" s="2"/>
    </row>
    <row r="9" spans="1:14" ht="18" customHeight="1" thickTop="1" thickBot="1">
      <c r="B9" s="2"/>
      <c r="C9" s="26" t="s">
        <v>24</v>
      </c>
      <c r="D9" s="42"/>
      <c r="E9" s="25" t="s">
        <v>23</v>
      </c>
      <c r="F9" s="43">
        <f>F7*F8</f>
        <v>0</v>
      </c>
      <c r="G9" s="2"/>
      <c r="H9" s="2"/>
      <c r="I9" s="2"/>
      <c r="J9" s="2"/>
      <c r="K9" s="2"/>
    </row>
    <row r="10" spans="1:14" ht="18" customHeight="1" thickTop="1"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4" ht="10.9" customHeight="1">
      <c r="B11" s="2"/>
      <c r="C11" s="2"/>
      <c r="D11" s="2"/>
      <c r="E11" s="2"/>
      <c r="F11" s="2"/>
      <c r="G11" s="2"/>
      <c r="H11" s="2"/>
      <c r="I11" s="2"/>
      <c r="J11" s="2"/>
      <c r="K11" s="2"/>
    </row>
    <row r="12" spans="1:14" ht="18" customHeight="1">
      <c r="B12" s="2"/>
      <c r="C12" s="54" t="s">
        <v>43</v>
      </c>
      <c r="D12" s="54"/>
      <c r="E12" s="54"/>
      <c r="F12" s="2"/>
      <c r="G12" s="2"/>
      <c r="H12" s="2"/>
      <c r="I12" s="2"/>
      <c r="J12" s="2"/>
      <c r="K12" s="2"/>
    </row>
    <row r="13" spans="1:14" ht="6" customHeight="1">
      <c r="B13" s="2"/>
      <c r="C13" s="9"/>
      <c r="D13" s="9"/>
      <c r="E13" s="9"/>
      <c r="F13" s="2"/>
      <c r="G13" s="2"/>
      <c r="H13" s="2"/>
      <c r="I13" s="2"/>
      <c r="J13" s="2"/>
      <c r="K13" s="2"/>
    </row>
    <row r="14" spans="1:14" ht="18" customHeight="1">
      <c r="A14" s="6"/>
      <c r="B14" s="2"/>
      <c r="C14" s="10" t="s">
        <v>14</v>
      </c>
      <c r="D14" s="10" t="s">
        <v>0</v>
      </c>
      <c r="E14" s="10" t="s">
        <v>15</v>
      </c>
      <c r="F14" s="10" t="s">
        <v>8</v>
      </c>
      <c r="G14" s="10" t="s">
        <v>3</v>
      </c>
      <c r="H14" s="10" t="s">
        <v>10</v>
      </c>
      <c r="I14" s="10" t="s">
        <v>9</v>
      </c>
      <c r="J14" s="10" t="s">
        <v>6</v>
      </c>
      <c r="K14" s="2"/>
    </row>
    <row r="15" spans="1:14" ht="18" customHeight="1">
      <c r="A15" s="6"/>
      <c r="B15" s="2"/>
      <c r="C15" s="35" t="s">
        <v>53</v>
      </c>
      <c r="D15" s="35" t="s">
        <v>66</v>
      </c>
      <c r="E15" s="35" t="s">
        <v>58</v>
      </c>
      <c r="F15" s="12" t="s">
        <v>32</v>
      </c>
      <c r="G15" s="14">
        <v>10</v>
      </c>
      <c r="H15" s="14">
        <v>3</v>
      </c>
      <c r="I15" s="41">
        <v>1400</v>
      </c>
      <c r="J15" s="41">
        <f>listeProduits[[#This Row],[Stock initial]]*listeProduits[[#This Row],[Prix unitaire]]</f>
        <v>4200</v>
      </c>
      <c r="K15" s="2"/>
    </row>
    <row r="16" spans="1:14" ht="18" customHeight="1">
      <c r="A16" s="6"/>
      <c r="B16" s="2"/>
      <c r="C16" s="35" t="s">
        <v>36</v>
      </c>
      <c r="D16" s="35" t="s">
        <v>50</v>
      </c>
      <c r="E16" s="35" t="s">
        <v>59</v>
      </c>
      <c r="F16" s="12" t="s">
        <v>32</v>
      </c>
      <c r="G16" s="14">
        <v>10</v>
      </c>
      <c r="H16" s="14">
        <v>6</v>
      </c>
      <c r="I16" s="41">
        <v>400</v>
      </c>
      <c r="J16" s="41">
        <f>listeProduits[[#This Row],[Stock initial]]*listeProduits[[#This Row],[Prix unitaire]]</f>
        <v>2400</v>
      </c>
      <c r="K16" s="2"/>
    </row>
    <row r="17" spans="1:11" ht="18" customHeight="1">
      <c r="A17" s="6"/>
      <c r="B17" s="2"/>
      <c r="C17" s="35" t="s">
        <v>35</v>
      </c>
      <c r="D17" s="35" t="s">
        <v>49</v>
      </c>
      <c r="E17" s="35" t="s">
        <v>59</v>
      </c>
      <c r="F17" s="12" t="s">
        <v>32</v>
      </c>
      <c r="G17" s="14">
        <v>10</v>
      </c>
      <c r="H17" s="14">
        <v>3</v>
      </c>
      <c r="I17" s="41">
        <v>750</v>
      </c>
      <c r="J17" s="41">
        <f>listeProduits[[#This Row],[Stock initial]]*listeProduits[[#This Row],[Prix unitaire]]</f>
        <v>2250</v>
      </c>
      <c r="K17" s="2"/>
    </row>
    <row r="18" spans="1:11" ht="18" customHeight="1">
      <c r="A18" s="6"/>
      <c r="B18" s="2"/>
      <c r="C18" s="35" t="s">
        <v>41</v>
      </c>
      <c r="D18" s="35" t="s">
        <v>61</v>
      </c>
      <c r="E18" s="35" t="s">
        <v>60</v>
      </c>
      <c r="F18" s="12" t="s">
        <v>32</v>
      </c>
      <c r="G18" s="14">
        <v>10</v>
      </c>
      <c r="H18" s="14">
        <v>0</v>
      </c>
      <c r="I18" s="41">
        <v>0</v>
      </c>
      <c r="J18" s="41">
        <f>listeProduits[[#This Row],[Stock initial]]*listeProduits[[#This Row],[Prix unitaire]]</f>
        <v>0</v>
      </c>
      <c r="K18" s="2"/>
    </row>
    <row r="19" spans="1:11" ht="18" customHeight="1">
      <c r="A19" s="6"/>
      <c r="B19" s="2"/>
      <c r="C19" s="35" t="s">
        <v>40</v>
      </c>
      <c r="D19" s="35" t="s">
        <v>62</v>
      </c>
      <c r="E19" s="35" t="s">
        <v>60</v>
      </c>
      <c r="F19" s="12" t="s">
        <v>32</v>
      </c>
      <c r="G19" s="14">
        <v>10</v>
      </c>
      <c r="H19" s="14">
        <v>6</v>
      </c>
      <c r="I19" s="41">
        <v>150</v>
      </c>
      <c r="J19" s="41">
        <f>listeProduits[[#This Row],[Stock initial]]*listeProduits[[#This Row],[Prix unitaire]]</f>
        <v>900</v>
      </c>
      <c r="K19" s="2"/>
    </row>
    <row r="20" spans="1:11" ht="18" customHeight="1">
      <c r="A20" s="6"/>
      <c r="B20" s="2"/>
      <c r="C20" s="35" t="s">
        <v>39</v>
      </c>
      <c r="D20" s="35" t="s">
        <v>63</v>
      </c>
      <c r="E20" s="35" t="s">
        <v>60</v>
      </c>
      <c r="F20" s="12" t="s">
        <v>32</v>
      </c>
      <c r="G20" s="14">
        <v>10</v>
      </c>
      <c r="H20" s="14">
        <v>3</v>
      </c>
      <c r="I20" s="41">
        <v>300</v>
      </c>
      <c r="J20" s="41">
        <f>listeProduits[[#This Row],[Stock initial]]*listeProduits[[#This Row],[Prix unitaire]]</f>
        <v>900</v>
      </c>
      <c r="K20" s="2"/>
    </row>
    <row r="21" spans="1:11" ht="18" customHeight="1">
      <c r="A21" s="6"/>
      <c r="B21" s="2"/>
      <c r="C21" s="35" t="s">
        <v>38</v>
      </c>
      <c r="D21" s="35" t="s">
        <v>64</v>
      </c>
      <c r="E21" s="35" t="s">
        <v>60</v>
      </c>
      <c r="F21" s="12" t="s">
        <v>32</v>
      </c>
      <c r="G21" s="14">
        <v>10</v>
      </c>
      <c r="H21" s="14">
        <v>5</v>
      </c>
      <c r="I21" s="41">
        <v>700</v>
      </c>
      <c r="J21" s="41">
        <f>listeProduits[[#This Row],[Stock initial]]*listeProduits[[#This Row],[Prix unitaire]]</f>
        <v>3500</v>
      </c>
      <c r="K21" s="2"/>
    </row>
    <row r="22" spans="1:11" ht="18" customHeight="1">
      <c r="A22" s="6"/>
      <c r="B22" s="2"/>
      <c r="C22" s="12" t="s">
        <v>52</v>
      </c>
      <c r="D22" s="12" t="s">
        <v>51</v>
      </c>
      <c r="E22" s="12" t="s">
        <v>58</v>
      </c>
      <c r="F22" s="12" t="s">
        <v>32</v>
      </c>
      <c r="G22" s="14">
        <v>10</v>
      </c>
      <c r="H22" s="14">
        <v>20</v>
      </c>
      <c r="I22" s="13">
        <v>600</v>
      </c>
      <c r="J22" s="13">
        <f>listeProduits[[#This Row],[Stock initial]]*listeProduits[[#This Row],[Prix unitaire]]</f>
        <v>12000</v>
      </c>
      <c r="K22" s="2"/>
    </row>
    <row r="23" spans="1:11" ht="18" customHeight="1">
      <c r="A23" s="6"/>
      <c r="B23" s="2"/>
      <c r="C23" s="12" t="s">
        <v>54</v>
      </c>
      <c r="D23" s="12" t="s">
        <v>18</v>
      </c>
      <c r="E23" s="12" t="s">
        <v>19</v>
      </c>
      <c r="F23" s="12" t="s">
        <v>20</v>
      </c>
      <c r="G23" s="14">
        <v>10</v>
      </c>
      <c r="H23" s="14">
        <v>10</v>
      </c>
      <c r="I23" s="13">
        <v>0.2</v>
      </c>
      <c r="J23" s="13">
        <f>listeProduits[[#This Row],[Stock initial]]*listeProduits[[#This Row],[Prix unitaire]]</f>
        <v>2</v>
      </c>
      <c r="K23" s="2"/>
    </row>
    <row r="24" spans="1:11" ht="18" customHeight="1">
      <c r="A24" s="6"/>
      <c r="B24" s="2"/>
      <c r="C24" s="12" t="s">
        <v>55</v>
      </c>
      <c r="D24" s="12" t="s">
        <v>18</v>
      </c>
      <c r="E24" s="12" t="s">
        <v>19</v>
      </c>
      <c r="F24" s="12" t="s">
        <v>21</v>
      </c>
      <c r="G24" s="14">
        <v>50</v>
      </c>
      <c r="H24" s="14">
        <v>15</v>
      </c>
      <c r="I24" s="13">
        <v>2</v>
      </c>
      <c r="J24" s="13">
        <f>listeProduits[[#This Row],[Stock initial]]*listeProduits[[#This Row],[Prix unitaire]]</f>
        <v>30</v>
      </c>
      <c r="K24" s="2"/>
    </row>
    <row r="25" spans="1:11" ht="18" customHeight="1">
      <c r="B25" s="2"/>
      <c r="C25" s="12" t="s">
        <v>56</v>
      </c>
      <c r="D25" s="12" t="s">
        <v>18</v>
      </c>
      <c r="E25" s="12" t="s">
        <v>19</v>
      </c>
      <c r="F25" s="12" t="s">
        <v>22</v>
      </c>
      <c r="G25" s="14">
        <v>20</v>
      </c>
      <c r="H25" s="14">
        <v>5</v>
      </c>
      <c r="I25" s="13">
        <v>4</v>
      </c>
      <c r="J25" s="13">
        <f>listeProduits[[#This Row],[Stock initial]]*listeProduits[[#This Row],[Prix unitaire]]</f>
        <v>20</v>
      </c>
      <c r="K25" s="2"/>
    </row>
    <row r="26" spans="1:11" ht="18" customHeight="1">
      <c r="B26" s="2"/>
      <c r="C26" s="2"/>
      <c r="D26" s="2"/>
      <c r="E26" s="2"/>
      <c r="F26" s="2"/>
      <c r="G26" s="2"/>
      <c r="H26" s="2"/>
      <c r="I26" s="2"/>
      <c r="J26" s="2"/>
    </row>
    <row r="27" spans="1:11" ht="18" customHeight="1">
      <c r="B27" s="2"/>
      <c r="C27" s="2"/>
      <c r="D27" s="2"/>
      <c r="E27" s="2"/>
      <c r="F27" s="2"/>
      <c r="G27" s="2"/>
      <c r="H27" s="2"/>
      <c r="I27" s="2"/>
      <c r="J27" s="2"/>
    </row>
    <row r="28" spans="1:11" ht="18" customHeight="1"/>
    <row r="29" spans="1:11" ht="19.899999999999999" customHeight="1"/>
    <row r="31" spans="1:11">
      <c r="E31" s="45"/>
    </row>
  </sheetData>
  <mergeCells count="3">
    <mergeCell ref="C3:E3"/>
    <mergeCell ref="C4:D4"/>
    <mergeCell ref="C12:E12"/>
  </mergeCells>
  <phoneticPr fontId="14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99D3A-FCC7-40CC-866F-7A34F021AA1E}">
  <sheetPr codeName="Feuil10"/>
  <dimension ref="A1:P67"/>
  <sheetViews>
    <sheetView zoomScale="115" zoomScaleNormal="115" workbookViewId="0">
      <selection activeCell="F15" sqref="F15"/>
    </sheetView>
  </sheetViews>
  <sheetFormatPr baseColWidth="10" defaultColWidth="8.85546875" defaultRowHeight="15"/>
  <cols>
    <col min="1" max="1" width="8.140625" style="1" customWidth="1"/>
    <col min="2" max="2" width="8.7109375" style="1" customWidth="1"/>
    <col min="3" max="3" width="9.42578125" style="1" customWidth="1"/>
    <col min="4" max="4" width="12.7109375" style="1" customWidth="1"/>
    <col min="5" max="5" width="11.5703125" style="1" customWidth="1"/>
    <col min="6" max="6" width="28.28515625" style="1" customWidth="1"/>
    <col min="7" max="7" width="19.85546875" style="1" customWidth="1"/>
    <col min="8" max="8" width="17.85546875" style="1" customWidth="1"/>
    <col min="9" max="9" width="14" style="1" customWidth="1"/>
    <col min="10" max="10" width="10.5703125" style="40" customWidth="1"/>
    <col min="11" max="11" width="21.28515625" style="1" customWidth="1"/>
    <col min="12" max="12" width="8.7109375" style="1" customWidth="1"/>
    <col min="13" max="24" width="12.7109375" style="1" customWidth="1"/>
    <col min="25" max="16384" width="8.85546875" style="1"/>
  </cols>
  <sheetData>
    <row r="1" spans="1:16" ht="22.15" customHeight="1">
      <c r="A1" s="4"/>
      <c r="B1" s="4"/>
      <c r="C1" s="4"/>
      <c r="D1" s="4"/>
      <c r="E1" s="4"/>
      <c r="F1" s="4"/>
      <c r="G1" s="4"/>
      <c r="H1" s="4"/>
      <c r="I1" s="4"/>
      <c r="J1" s="38"/>
      <c r="K1" s="4"/>
      <c r="L1" s="4"/>
      <c r="M1" s="4"/>
      <c r="N1" s="4"/>
      <c r="O1" s="4"/>
      <c r="P1" s="4"/>
    </row>
    <row r="2" spans="1:16" ht="13.9" customHeight="1">
      <c r="A2" s="4"/>
      <c r="B2" s="4"/>
      <c r="C2" s="4"/>
      <c r="D2" s="4"/>
      <c r="E2" s="4"/>
      <c r="F2" s="4"/>
      <c r="G2" s="4"/>
      <c r="H2" s="4"/>
      <c r="I2" s="4"/>
      <c r="J2" s="38"/>
      <c r="K2" s="4"/>
      <c r="L2" s="4"/>
      <c r="M2" s="4"/>
      <c r="N2" s="4"/>
      <c r="O2" s="4"/>
      <c r="P2" s="4"/>
    </row>
    <row r="3" spans="1:16" ht="26.45" customHeight="1">
      <c r="A3" s="5"/>
      <c r="B3" s="2"/>
      <c r="C3" s="54" t="s">
        <v>44</v>
      </c>
      <c r="D3" s="54"/>
      <c r="E3" s="54"/>
      <c r="F3" s="54"/>
      <c r="G3" s="54"/>
      <c r="H3" s="54"/>
      <c r="I3" s="54"/>
      <c r="J3" s="54"/>
      <c r="K3" s="54"/>
      <c r="L3" s="3"/>
      <c r="M3" s="5"/>
      <c r="N3" s="5"/>
      <c r="O3" s="5"/>
      <c r="P3" s="5"/>
    </row>
    <row r="4" spans="1:16" ht="16.899999999999999" customHeight="1">
      <c r="A4" s="5"/>
      <c r="B4" s="2"/>
      <c r="C4" s="53" t="s">
        <v>47</v>
      </c>
      <c r="D4" s="53"/>
      <c r="E4" s="53"/>
      <c r="F4" s="53"/>
      <c r="G4" s="53"/>
      <c r="H4" s="53"/>
      <c r="I4" s="53"/>
      <c r="J4" s="53"/>
      <c r="K4" s="11"/>
      <c r="L4" s="11"/>
      <c r="M4" s="5"/>
      <c r="N4" s="5"/>
      <c r="O4" s="5"/>
      <c r="P4" s="5"/>
    </row>
    <row r="5" spans="1:16">
      <c r="B5" s="2"/>
      <c r="C5" s="2"/>
      <c r="D5" s="2"/>
      <c r="E5" s="2"/>
      <c r="F5" s="2"/>
      <c r="G5" s="2"/>
      <c r="H5" s="2"/>
      <c r="I5" s="2"/>
      <c r="J5" s="39"/>
      <c r="K5" s="2"/>
      <c r="L5" s="3"/>
    </row>
    <row r="6" spans="1:16" ht="18" customHeight="1">
      <c r="A6" s="6"/>
      <c r="B6" s="2"/>
      <c r="C6" s="10" t="s">
        <v>7</v>
      </c>
      <c r="D6" s="10" t="s">
        <v>2</v>
      </c>
      <c r="E6" s="10" t="s">
        <v>14</v>
      </c>
      <c r="F6" s="10" t="s">
        <v>0</v>
      </c>
      <c r="G6" s="10" t="s">
        <v>15</v>
      </c>
      <c r="H6" s="10" t="s">
        <v>8</v>
      </c>
      <c r="I6" s="10" t="s">
        <v>57</v>
      </c>
      <c r="J6" s="10" t="s">
        <v>1</v>
      </c>
      <c r="K6" s="10" t="s">
        <v>6</v>
      </c>
      <c r="L6" s="2"/>
    </row>
    <row r="7" spans="1:16" ht="18" customHeight="1">
      <c r="A7" s="6"/>
      <c r="B7" s="2"/>
      <c r="C7" s="14">
        <f>C8+1</f>
        <v>57</v>
      </c>
      <c r="D7" s="15">
        <v>44698</v>
      </c>
      <c r="E7" s="35" t="s">
        <v>55</v>
      </c>
      <c r="F7" s="35" t="s">
        <v>18</v>
      </c>
      <c r="G7" s="35" t="s">
        <v>19</v>
      </c>
      <c r="H7" s="35" t="s">
        <v>21</v>
      </c>
      <c r="I7" s="36">
        <v>2</v>
      </c>
      <c r="J7" s="37">
        <v>25</v>
      </c>
      <c r="K7" s="41">
        <f>listeAchats[[#This Row],[Coût d''achat]]*listeAchats[[#This Row],[Quantité]]</f>
        <v>50</v>
      </c>
      <c r="L7" s="2"/>
    </row>
    <row r="8" spans="1:16" ht="18" customHeight="1">
      <c r="A8" s="6"/>
      <c r="B8" s="2"/>
      <c r="C8" s="14">
        <f>C9+1</f>
        <v>56</v>
      </c>
      <c r="D8" s="15">
        <v>44698</v>
      </c>
      <c r="E8" s="35" t="s">
        <v>38</v>
      </c>
      <c r="F8" s="35" t="s">
        <v>64</v>
      </c>
      <c r="G8" s="35" t="s">
        <v>60</v>
      </c>
      <c r="H8" s="35" t="s">
        <v>32</v>
      </c>
      <c r="I8" s="36">
        <v>700</v>
      </c>
      <c r="J8" s="37">
        <v>5</v>
      </c>
      <c r="K8" s="41">
        <f>listeAchats[[#This Row],[Coût d''achat]]*listeAchats[[#This Row],[Quantité]]</f>
        <v>3500</v>
      </c>
      <c r="L8" s="2"/>
    </row>
    <row r="9" spans="1:16" ht="18" customHeight="1">
      <c r="A9" s="6"/>
      <c r="B9" s="2"/>
      <c r="C9" s="14">
        <f t="shared" ref="C9:C40" si="0">C10+1</f>
        <v>55</v>
      </c>
      <c r="D9" s="15">
        <v>44686</v>
      </c>
      <c r="E9" s="35" t="s">
        <v>41</v>
      </c>
      <c r="F9" s="35" t="s">
        <v>61</v>
      </c>
      <c r="G9" s="35" t="s">
        <v>60</v>
      </c>
      <c r="H9" s="35" t="s">
        <v>32</v>
      </c>
      <c r="I9" s="36">
        <v>500</v>
      </c>
      <c r="J9" s="37">
        <v>10</v>
      </c>
      <c r="K9" s="41">
        <f>listeAchats[[#This Row],[Coût d''achat]]*listeAchats[[#This Row],[Quantité]]</f>
        <v>5000</v>
      </c>
      <c r="L9" s="2"/>
    </row>
    <row r="10" spans="1:16" ht="18" customHeight="1">
      <c r="A10" s="6"/>
      <c r="B10" s="2"/>
      <c r="C10" s="14">
        <f t="shared" si="0"/>
        <v>54</v>
      </c>
      <c r="D10" s="15">
        <v>44656</v>
      </c>
      <c r="E10" s="35" t="s">
        <v>41</v>
      </c>
      <c r="F10" s="35" t="s">
        <v>61</v>
      </c>
      <c r="G10" s="35" t="s">
        <v>60</v>
      </c>
      <c r="H10" s="35" t="s">
        <v>32</v>
      </c>
      <c r="I10" s="36">
        <v>500</v>
      </c>
      <c r="J10" s="37">
        <v>10</v>
      </c>
      <c r="K10" s="41">
        <f>listeAchats[[#This Row],[Coût d''achat]]*listeAchats[[#This Row],[Quantité]]</f>
        <v>5000</v>
      </c>
      <c r="L10" s="2"/>
    </row>
    <row r="11" spans="1:16" ht="18" customHeight="1">
      <c r="A11" s="6"/>
      <c r="B11" s="2"/>
      <c r="C11" s="14">
        <f t="shared" si="0"/>
        <v>53</v>
      </c>
      <c r="D11" s="15">
        <v>44623</v>
      </c>
      <c r="E11" s="35" t="s">
        <v>41</v>
      </c>
      <c r="F11" s="35" t="s">
        <v>61</v>
      </c>
      <c r="G11" s="35" t="s">
        <v>60</v>
      </c>
      <c r="H11" s="35" t="s">
        <v>32</v>
      </c>
      <c r="I11" s="36">
        <v>500</v>
      </c>
      <c r="J11" s="37">
        <v>10</v>
      </c>
      <c r="K11" s="41">
        <f>listeAchats[[#This Row],[Coût d''achat]]*listeAchats[[#This Row],[Quantité]]</f>
        <v>5000</v>
      </c>
      <c r="L11" s="2"/>
    </row>
    <row r="12" spans="1:16" ht="18" customHeight="1">
      <c r="A12" s="6"/>
      <c r="B12" s="2"/>
      <c r="C12" s="14">
        <f t="shared" si="0"/>
        <v>52</v>
      </c>
      <c r="D12" s="15">
        <v>44595</v>
      </c>
      <c r="E12" s="35" t="s">
        <v>41</v>
      </c>
      <c r="F12" s="35" t="s">
        <v>61</v>
      </c>
      <c r="G12" s="35" t="s">
        <v>60</v>
      </c>
      <c r="H12" s="35" t="s">
        <v>32</v>
      </c>
      <c r="I12" s="36">
        <v>500</v>
      </c>
      <c r="J12" s="37">
        <v>10</v>
      </c>
      <c r="K12" s="41">
        <f>listeAchats[[#This Row],[Coût d''achat]]*listeAchats[[#This Row],[Quantité]]</f>
        <v>5000</v>
      </c>
      <c r="L12" s="2"/>
    </row>
    <row r="13" spans="1:16" ht="18" customHeight="1">
      <c r="A13" s="6"/>
      <c r="B13" s="2"/>
      <c r="C13" s="14">
        <f t="shared" si="0"/>
        <v>51</v>
      </c>
      <c r="D13" s="15">
        <v>44581</v>
      </c>
      <c r="E13" s="35" t="s">
        <v>41</v>
      </c>
      <c r="F13" s="35" t="s">
        <v>61</v>
      </c>
      <c r="G13" s="35" t="s">
        <v>60</v>
      </c>
      <c r="H13" s="35" t="s">
        <v>32</v>
      </c>
      <c r="I13" s="36">
        <v>500</v>
      </c>
      <c r="J13" s="37">
        <v>20</v>
      </c>
      <c r="K13" s="41">
        <f>listeAchats[[#This Row],[Coût d''achat]]*listeAchats[[#This Row],[Quantité]]</f>
        <v>10000</v>
      </c>
      <c r="L13" s="2"/>
    </row>
    <row r="14" spans="1:16" ht="18" customHeight="1">
      <c r="A14" s="6"/>
      <c r="B14" s="2"/>
      <c r="C14" s="14">
        <f t="shared" si="0"/>
        <v>50</v>
      </c>
      <c r="D14" s="15">
        <v>44685</v>
      </c>
      <c r="E14" s="35" t="s">
        <v>40</v>
      </c>
      <c r="F14" s="35" t="s">
        <v>62</v>
      </c>
      <c r="G14" s="35" t="s">
        <v>60</v>
      </c>
      <c r="H14" s="35" t="s">
        <v>32</v>
      </c>
      <c r="I14" s="36">
        <v>150</v>
      </c>
      <c r="J14" s="37">
        <v>5</v>
      </c>
      <c r="K14" s="41">
        <f>listeAchats[[#This Row],[Coût d''achat]]*listeAchats[[#This Row],[Quantité]]</f>
        <v>750</v>
      </c>
      <c r="L14" s="2"/>
    </row>
    <row r="15" spans="1:16" ht="18" customHeight="1">
      <c r="A15" s="6"/>
      <c r="B15" s="2"/>
      <c r="C15" s="14">
        <f t="shared" si="0"/>
        <v>49</v>
      </c>
      <c r="D15" s="15">
        <v>44655</v>
      </c>
      <c r="E15" s="35" t="s">
        <v>40</v>
      </c>
      <c r="F15" s="35" t="s">
        <v>62</v>
      </c>
      <c r="G15" s="35" t="s">
        <v>60</v>
      </c>
      <c r="H15" s="35" t="s">
        <v>32</v>
      </c>
      <c r="I15" s="36">
        <v>150</v>
      </c>
      <c r="J15" s="37">
        <v>10</v>
      </c>
      <c r="K15" s="41">
        <f>listeAchats[[#This Row],[Coût d''achat]]*listeAchats[[#This Row],[Quantité]]</f>
        <v>1500</v>
      </c>
      <c r="L15" s="2"/>
    </row>
    <row r="16" spans="1:16" ht="18" customHeight="1">
      <c r="A16" s="6"/>
      <c r="B16" s="2"/>
      <c r="C16" s="14">
        <f t="shared" si="0"/>
        <v>48</v>
      </c>
      <c r="D16" s="15">
        <v>44623</v>
      </c>
      <c r="E16" s="35" t="s">
        <v>40</v>
      </c>
      <c r="F16" s="35" t="s">
        <v>62</v>
      </c>
      <c r="G16" s="35" t="s">
        <v>60</v>
      </c>
      <c r="H16" s="35" t="s">
        <v>32</v>
      </c>
      <c r="I16" s="36">
        <v>150</v>
      </c>
      <c r="J16" s="37">
        <v>20</v>
      </c>
      <c r="K16" s="41">
        <f>listeAchats[[#This Row],[Coût d''achat]]*listeAchats[[#This Row],[Quantité]]</f>
        <v>3000</v>
      </c>
      <c r="L16" s="2"/>
    </row>
    <row r="17" spans="1:12" ht="18" customHeight="1">
      <c r="A17" s="6"/>
      <c r="B17" s="2"/>
      <c r="C17" s="14">
        <f t="shared" si="0"/>
        <v>47</v>
      </c>
      <c r="D17" s="15">
        <v>44594</v>
      </c>
      <c r="E17" s="35" t="s">
        <v>40</v>
      </c>
      <c r="F17" s="35" t="s">
        <v>62</v>
      </c>
      <c r="G17" s="35" t="s">
        <v>60</v>
      </c>
      <c r="H17" s="35" t="s">
        <v>32</v>
      </c>
      <c r="I17" s="36">
        <v>150</v>
      </c>
      <c r="J17" s="37">
        <v>10</v>
      </c>
      <c r="K17" s="41">
        <f>listeAchats[[#This Row],[Coût d''achat]]*listeAchats[[#This Row],[Quantité]]</f>
        <v>1500</v>
      </c>
      <c r="L17" s="2"/>
    </row>
    <row r="18" spans="1:12" ht="18" customHeight="1">
      <c r="A18" s="6"/>
      <c r="B18" s="2"/>
      <c r="C18" s="14">
        <f t="shared" si="0"/>
        <v>46</v>
      </c>
      <c r="D18" s="15">
        <v>44562</v>
      </c>
      <c r="E18" s="35" t="s">
        <v>40</v>
      </c>
      <c r="F18" s="35" t="s">
        <v>62</v>
      </c>
      <c r="G18" s="35" t="s">
        <v>60</v>
      </c>
      <c r="H18" s="35" t="s">
        <v>32</v>
      </c>
      <c r="I18" s="36">
        <v>150</v>
      </c>
      <c r="J18" s="37">
        <v>20</v>
      </c>
      <c r="K18" s="41">
        <f>listeAchats[[#This Row],[Coût d''achat]]*listeAchats[[#This Row],[Quantité]]</f>
        <v>3000</v>
      </c>
      <c r="L18" s="2"/>
    </row>
    <row r="19" spans="1:12" ht="18" customHeight="1">
      <c r="A19" s="6"/>
      <c r="B19" s="2"/>
      <c r="C19" s="14">
        <f t="shared" si="0"/>
        <v>45</v>
      </c>
      <c r="D19" s="15">
        <v>44690</v>
      </c>
      <c r="E19" s="35" t="s">
        <v>39</v>
      </c>
      <c r="F19" s="35" t="s">
        <v>63</v>
      </c>
      <c r="G19" s="35" t="s">
        <v>60</v>
      </c>
      <c r="H19" s="35" t="s">
        <v>32</v>
      </c>
      <c r="I19" s="36">
        <v>300</v>
      </c>
      <c r="J19" s="37">
        <v>4</v>
      </c>
      <c r="K19" s="41">
        <f>listeAchats[[#This Row],[Coût d''achat]]*listeAchats[[#This Row],[Quantité]]</f>
        <v>1200</v>
      </c>
      <c r="L19" s="2"/>
    </row>
    <row r="20" spans="1:12" ht="18" customHeight="1">
      <c r="A20" s="6"/>
      <c r="B20" s="2"/>
      <c r="C20" s="14">
        <f t="shared" si="0"/>
        <v>44</v>
      </c>
      <c r="D20" s="15">
        <v>44655</v>
      </c>
      <c r="E20" s="35" t="s">
        <v>39</v>
      </c>
      <c r="F20" s="35" t="s">
        <v>63</v>
      </c>
      <c r="G20" s="35" t="s">
        <v>60</v>
      </c>
      <c r="H20" s="35" t="s">
        <v>32</v>
      </c>
      <c r="I20" s="36">
        <v>300</v>
      </c>
      <c r="J20" s="37">
        <v>4</v>
      </c>
      <c r="K20" s="41">
        <f>listeAchats[[#This Row],[Coût d''achat]]*listeAchats[[#This Row],[Quantité]]</f>
        <v>1200</v>
      </c>
      <c r="L20" s="2"/>
    </row>
    <row r="21" spans="1:12" ht="18" customHeight="1">
      <c r="A21" s="6"/>
      <c r="B21" s="2"/>
      <c r="C21" s="14">
        <f t="shared" si="0"/>
        <v>43</v>
      </c>
      <c r="D21" s="15">
        <v>44626</v>
      </c>
      <c r="E21" s="35" t="s">
        <v>39</v>
      </c>
      <c r="F21" s="35" t="s">
        <v>63</v>
      </c>
      <c r="G21" s="35" t="s">
        <v>60</v>
      </c>
      <c r="H21" s="35" t="s">
        <v>32</v>
      </c>
      <c r="I21" s="36">
        <v>300</v>
      </c>
      <c r="J21" s="37">
        <v>2</v>
      </c>
      <c r="K21" s="41">
        <f>listeAchats[[#This Row],[Coût d''achat]]*listeAchats[[#This Row],[Quantité]]</f>
        <v>600</v>
      </c>
      <c r="L21" s="2"/>
    </row>
    <row r="22" spans="1:12" ht="18" customHeight="1">
      <c r="A22" s="6"/>
      <c r="B22" s="2"/>
      <c r="C22" s="14">
        <f t="shared" si="0"/>
        <v>42</v>
      </c>
      <c r="D22" s="15">
        <v>44607</v>
      </c>
      <c r="E22" s="35" t="s">
        <v>39</v>
      </c>
      <c r="F22" s="35" t="s">
        <v>63</v>
      </c>
      <c r="G22" s="35" t="s">
        <v>60</v>
      </c>
      <c r="H22" s="35" t="s">
        <v>32</v>
      </c>
      <c r="I22" s="36">
        <v>300</v>
      </c>
      <c r="J22" s="37">
        <v>10</v>
      </c>
      <c r="K22" s="41">
        <f>listeAchats[[#This Row],[Coût d''achat]]*listeAchats[[#This Row],[Quantité]]</f>
        <v>3000</v>
      </c>
      <c r="L22" s="2"/>
    </row>
    <row r="23" spans="1:12" ht="18" customHeight="1">
      <c r="A23" s="6"/>
      <c r="B23" s="2"/>
      <c r="C23" s="14">
        <f t="shared" si="0"/>
        <v>41</v>
      </c>
      <c r="D23" s="15">
        <v>44577</v>
      </c>
      <c r="E23" s="35" t="s">
        <v>39</v>
      </c>
      <c r="F23" s="35" t="s">
        <v>63</v>
      </c>
      <c r="G23" s="35" t="s">
        <v>60</v>
      </c>
      <c r="H23" s="35" t="s">
        <v>32</v>
      </c>
      <c r="I23" s="36">
        <v>300</v>
      </c>
      <c r="J23" s="37">
        <v>20</v>
      </c>
      <c r="K23" s="41">
        <f>listeAchats[[#This Row],[Coût d''achat]]*listeAchats[[#This Row],[Quantité]]</f>
        <v>6000</v>
      </c>
      <c r="L23" s="2"/>
    </row>
    <row r="24" spans="1:12" ht="18" customHeight="1">
      <c r="A24" s="6"/>
      <c r="B24" s="2"/>
      <c r="C24" s="14">
        <f t="shared" si="0"/>
        <v>40</v>
      </c>
      <c r="D24" s="15">
        <v>44687</v>
      </c>
      <c r="E24" s="35" t="s">
        <v>38</v>
      </c>
      <c r="F24" s="35" t="s">
        <v>64</v>
      </c>
      <c r="G24" s="35" t="s">
        <v>60</v>
      </c>
      <c r="H24" s="35" t="s">
        <v>32</v>
      </c>
      <c r="I24" s="36">
        <v>700</v>
      </c>
      <c r="J24" s="37">
        <v>6</v>
      </c>
      <c r="K24" s="41">
        <f>listeAchats[[#This Row],[Coût d''achat]]*listeAchats[[#This Row],[Quantité]]</f>
        <v>4200</v>
      </c>
      <c r="L24" s="2"/>
    </row>
    <row r="25" spans="1:12" ht="18" customHeight="1">
      <c r="A25" s="6"/>
      <c r="B25" s="2"/>
      <c r="C25" s="14">
        <f t="shared" si="0"/>
        <v>39</v>
      </c>
      <c r="D25" s="15">
        <v>44657</v>
      </c>
      <c r="E25" s="35" t="s">
        <v>38</v>
      </c>
      <c r="F25" s="35" t="s">
        <v>64</v>
      </c>
      <c r="G25" s="35" t="s">
        <v>60</v>
      </c>
      <c r="H25" s="35" t="s">
        <v>32</v>
      </c>
      <c r="I25" s="36">
        <v>700</v>
      </c>
      <c r="J25" s="37">
        <v>2</v>
      </c>
      <c r="K25" s="41">
        <f>listeAchats[[#This Row],[Coût d''achat]]*listeAchats[[#This Row],[Quantité]]</f>
        <v>1400</v>
      </c>
      <c r="L25" s="2"/>
    </row>
    <row r="26" spans="1:12" ht="18" customHeight="1">
      <c r="A26" s="6"/>
      <c r="B26" s="2"/>
      <c r="C26" s="14">
        <f t="shared" si="0"/>
        <v>38</v>
      </c>
      <c r="D26" s="15">
        <v>44623</v>
      </c>
      <c r="E26" s="35" t="s">
        <v>38</v>
      </c>
      <c r="F26" s="35" t="s">
        <v>64</v>
      </c>
      <c r="G26" s="35" t="s">
        <v>60</v>
      </c>
      <c r="H26" s="35" t="s">
        <v>32</v>
      </c>
      <c r="I26" s="36">
        <v>700</v>
      </c>
      <c r="J26" s="37">
        <v>4</v>
      </c>
      <c r="K26" s="41">
        <f>listeAchats[[#This Row],[Coût d''achat]]*listeAchats[[#This Row],[Quantité]]</f>
        <v>2800</v>
      </c>
      <c r="L26" s="2"/>
    </row>
    <row r="27" spans="1:12" ht="18" customHeight="1">
      <c r="A27" s="6"/>
      <c r="B27" s="2"/>
      <c r="C27" s="14">
        <f t="shared" si="0"/>
        <v>37</v>
      </c>
      <c r="D27" s="15">
        <v>44595</v>
      </c>
      <c r="E27" s="35" t="s">
        <v>38</v>
      </c>
      <c r="F27" s="35" t="s">
        <v>64</v>
      </c>
      <c r="G27" s="35" t="s">
        <v>60</v>
      </c>
      <c r="H27" s="35" t="s">
        <v>32</v>
      </c>
      <c r="I27" s="36">
        <v>700</v>
      </c>
      <c r="J27" s="37">
        <v>3</v>
      </c>
      <c r="K27" s="41">
        <f>listeAchats[[#This Row],[Coût d''achat]]*listeAchats[[#This Row],[Quantité]]</f>
        <v>2100</v>
      </c>
      <c r="L27" s="2"/>
    </row>
    <row r="28" spans="1:12" ht="18" customHeight="1">
      <c r="A28" s="6"/>
      <c r="B28" s="2"/>
      <c r="C28" s="14">
        <f t="shared" si="0"/>
        <v>36</v>
      </c>
      <c r="D28" s="15">
        <v>44583</v>
      </c>
      <c r="E28" s="35" t="s">
        <v>38</v>
      </c>
      <c r="F28" s="35" t="s">
        <v>64</v>
      </c>
      <c r="G28" s="35" t="s">
        <v>60</v>
      </c>
      <c r="H28" s="35" t="s">
        <v>32</v>
      </c>
      <c r="I28" s="36">
        <v>700</v>
      </c>
      <c r="J28" s="37">
        <v>4</v>
      </c>
      <c r="K28" s="41">
        <f>listeAchats[[#This Row],[Coût d''achat]]*listeAchats[[#This Row],[Quantité]]</f>
        <v>2800</v>
      </c>
      <c r="L28" s="2"/>
    </row>
    <row r="29" spans="1:12" ht="18" customHeight="1">
      <c r="A29" s="6"/>
      <c r="B29" s="2"/>
      <c r="C29" s="14">
        <f t="shared" si="0"/>
        <v>35</v>
      </c>
      <c r="D29" s="15">
        <v>44703</v>
      </c>
      <c r="E29" s="35" t="s">
        <v>36</v>
      </c>
      <c r="F29" s="35" t="s">
        <v>50</v>
      </c>
      <c r="G29" s="35" t="s">
        <v>59</v>
      </c>
      <c r="H29" s="35" t="s">
        <v>32</v>
      </c>
      <c r="I29" s="36">
        <v>405</v>
      </c>
      <c r="J29" s="37">
        <v>5</v>
      </c>
      <c r="K29" s="41">
        <f>listeAchats[[#This Row],[Coût d''achat]]*listeAchats[[#This Row],[Quantité]]</f>
        <v>2025</v>
      </c>
      <c r="L29" s="2"/>
    </row>
    <row r="30" spans="1:12" ht="18" customHeight="1">
      <c r="A30" s="6"/>
      <c r="B30" s="2"/>
      <c r="C30" s="14">
        <f t="shared" si="0"/>
        <v>34</v>
      </c>
      <c r="D30" s="15">
        <v>44656</v>
      </c>
      <c r="E30" s="35" t="s">
        <v>36</v>
      </c>
      <c r="F30" s="35" t="s">
        <v>50</v>
      </c>
      <c r="G30" s="35" t="s">
        <v>59</v>
      </c>
      <c r="H30" s="35" t="s">
        <v>32</v>
      </c>
      <c r="I30" s="36">
        <v>410</v>
      </c>
      <c r="J30" s="37">
        <v>10</v>
      </c>
      <c r="K30" s="41">
        <f>listeAchats[[#This Row],[Coût d''achat]]*listeAchats[[#This Row],[Quantité]]</f>
        <v>4100</v>
      </c>
      <c r="L30" s="2"/>
    </row>
    <row r="31" spans="1:12" ht="18" customHeight="1">
      <c r="A31" s="6"/>
      <c r="B31" s="2"/>
      <c r="C31" s="14">
        <f t="shared" si="0"/>
        <v>33</v>
      </c>
      <c r="D31" s="15">
        <v>44625</v>
      </c>
      <c r="E31" s="35" t="s">
        <v>36</v>
      </c>
      <c r="F31" s="35" t="s">
        <v>50</v>
      </c>
      <c r="G31" s="35" t="s">
        <v>59</v>
      </c>
      <c r="H31" s="35" t="s">
        <v>32</v>
      </c>
      <c r="I31" s="36">
        <v>420</v>
      </c>
      <c r="J31" s="37">
        <v>10</v>
      </c>
      <c r="K31" s="41">
        <f>listeAchats[[#This Row],[Coût d''achat]]*listeAchats[[#This Row],[Quantité]]</f>
        <v>4200</v>
      </c>
      <c r="L31" s="2"/>
    </row>
    <row r="32" spans="1:12" ht="18" customHeight="1">
      <c r="A32" s="6"/>
      <c r="B32" s="2"/>
      <c r="C32" s="14">
        <f t="shared" si="0"/>
        <v>32</v>
      </c>
      <c r="D32" s="15">
        <v>44602</v>
      </c>
      <c r="E32" s="35" t="s">
        <v>36</v>
      </c>
      <c r="F32" s="35" t="s">
        <v>50</v>
      </c>
      <c r="G32" s="35" t="s">
        <v>59</v>
      </c>
      <c r="H32" s="35" t="s">
        <v>32</v>
      </c>
      <c r="I32" s="36">
        <v>400</v>
      </c>
      <c r="J32" s="37">
        <v>10</v>
      </c>
      <c r="K32" s="41">
        <f>listeAchats[[#This Row],[Coût d''achat]]*listeAchats[[#This Row],[Quantité]]</f>
        <v>4000</v>
      </c>
      <c r="L32" s="2"/>
    </row>
    <row r="33" spans="1:12" ht="18" customHeight="1">
      <c r="A33" s="6"/>
      <c r="B33" s="2"/>
      <c r="C33" s="14">
        <f t="shared" si="0"/>
        <v>31</v>
      </c>
      <c r="D33" s="15">
        <v>44563</v>
      </c>
      <c r="E33" s="35" t="s">
        <v>36</v>
      </c>
      <c r="F33" s="35" t="s">
        <v>50</v>
      </c>
      <c r="G33" s="35" t="s">
        <v>59</v>
      </c>
      <c r="H33" s="35" t="s">
        <v>32</v>
      </c>
      <c r="I33" s="36">
        <v>400</v>
      </c>
      <c r="J33" s="37">
        <v>5</v>
      </c>
      <c r="K33" s="41">
        <f>listeAchats[[#This Row],[Coût d''achat]]*listeAchats[[#This Row],[Quantité]]</f>
        <v>2000</v>
      </c>
      <c r="L33" s="2"/>
    </row>
    <row r="34" spans="1:12" ht="18" customHeight="1">
      <c r="A34" s="6"/>
      <c r="B34" s="2"/>
      <c r="C34" s="14">
        <f t="shared" si="0"/>
        <v>30</v>
      </c>
      <c r="D34" s="15">
        <v>44689</v>
      </c>
      <c r="E34" s="35" t="s">
        <v>35</v>
      </c>
      <c r="F34" s="35" t="s">
        <v>49</v>
      </c>
      <c r="G34" s="35" t="s">
        <v>59</v>
      </c>
      <c r="H34" s="35" t="s">
        <v>32</v>
      </c>
      <c r="I34" s="36">
        <v>760</v>
      </c>
      <c r="J34" s="37">
        <v>20</v>
      </c>
      <c r="K34" s="41">
        <f>listeAchats[[#This Row],[Coût d''achat]]*listeAchats[[#This Row],[Quantité]]</f>
        <v>15200</v>
      </c>
      <c r="L34" s="2"/>
    </row>
    <row r="35" spans="1:12" ht="18" customHeight="1">
      <c r="A35" s="6"/>
      <c r="B35" s="2"/>
      <c r="C35" s="14">
        <f t="shared" si="0"/>
        <v>29</v>
      </c>
      <c r="D35" s="15">
        <v>44656</v>
      </c>
      <c r="E35" s="35" t="s">
        <v>35</v>
      </c>
      <c r="F35" s="35" t="s">
        <v>49</v>
      </c>
      <c r="G35" s="35" t="s">
        <v>59</v>
      </c>
      <c r="H35" s="35" t="s">
        <v>32</v>
      </c>
      <c r="I35" s="36">
        <v>750</v>
      </c>
      <c r="J35" s="37">
        <v>5</v>
      </c>
      <c r="K35" s="41">
        <f>listeAchats[[#This Row],[Coût d''achat]]*listeAchats[[#This Row],[Quantité]]</f>
        <v>3750</v>
      </c>
      <c r="L35" s="2"/>
    </row>
    <row r="36" spans="1:12" ht="18" customHeight="1">
      <c r="A36" s="6"/>
      <c r="B36" s="2"/>
      <c r="C36" s="14">
        <f t="shared" si="0"/>
        <v>28</v>
      </c>
      <c r="D36" s="15">
        <v>44623</v>
      </c>
      <c r="E36" s="35" t="s">
        <v>35</v>
      </c>
      <c r="F36" s="35" t="s">
        <v>49</v>
      </c>
      <c r="G36" s="35" t="s">
        <v>59</v>
      </c>
      <c r="H36" s="35" t="s">
        <v>32</v>
      </c>
      <c r="I36" s="36">
        <v>745</v>
      </c>
      <c r="J36" s="37">
        <v>10</v>
      </c>
      <c r="K36" s="41">
        <f>listeAchats[[#This Row],[Coût d''achat]]*listeAchats[[#This Row],[Quantité]]</f>
        <v>7450</v>
      </c>
      <c r="L36" s="2"/>
    </row>
    <row r="37" spans="1:12" ht="18" customHeight="1">
      <c r="A37" s="6"/>
      <c r="B37" s="2"/>
      <c r="C37" s="14">
        <f t="shared" si="0"/>
        <v>27</v>
      </c>
      <c r="D37" s="15">
        <v>44618</v>
      </c>
      <c r="E37" s="35" t="s">
        <v>35</v>
      </c>
      <c r="F37" s="35" t="s">
        <v>49</v>
      </c>
      <c r="G37" s="35" t="s">
        <v>59</v>
      </c>
      <c r="H37" s="35" t="s">
        <v>32</v>
      </c>
      <c r="I37" s="36">
        <v>750</v>
      </c>
      <c r="J37" s="37">
        <v>10</v>
      </c>
      <c r="K37" s="41">
        <f>listeAchats[[#This Row],[Coût d''achat]]*listeAchats[[#This Row],[Quantité]]</f>
        <v>7500</v>
      </c>
      <c r="L37" s="2"/>
    </row>
    <row r="38" spans="1:12" ht="18" customHeight="1">
      <c r="A38" s="6"/>
      <c r="B38" s="2"/>
      <c r="C38" s="14">
        <f t="shared" si="0"/>
        <v>26</v>
      </c>
      <c r="D38" s="15">
        <v>44563</v>
      </c>
      <c r="E38" s="35" t="s">
        <v>35</v>
      </c>
      <c r="F38" s="35" t="s">
        <v>49</v>
      </c>
      <c r="G38" s="35" t="s">
        <v>59</v>
      </c>
      <c r="H38" s="35" t="s">
        <v>32</v>
      </c>
      <c r="I38" s="36">
        <v>740</v>
      </c>
      <c r="J38" s="37">
        <v>5</v>
      </c>
      <c r="K38" s="41">
        <f>listeAchats[[#This Row],[Coût d''achat]]*listeAchats[[#This Row],[Quantité]]</f>
        <v>3700</v>
      </c>
      <c r="L38" s="2"/>
    </row>
    <row r="39" spans="1:12" ht="18" customHeight="1">
      <c r="A39" s="6"/>
      <c r="B39" s="2"/>
      <c r="C39" s="14">
        <f t="shared" si="0"/>
        <v>25</v>
      </c>
      <c r="D39" s="15">
        <v>44683</v>
      </c>
      <c r="E39" s="35" t="s">
        <v>53</v>
      </c>
      <c r="F39" s="35" t="s">
        <v>66</v>
      </c>
      <c r="G39" s="35" t="s">
        <v>58</v>
      </c>
      <c r="H39" s="35" t="s">
        <v>32</v>
      </c>
      <c r="I39" s="36">
        <v>1400</v>
      </c>
      <c r="J39" s="37">
        <v>30</v>
      </c>
      <c r="K39" s="41">
        <f>listeAchats[[#This Row],[Coût d''achat]]*listeAchats[[#This Row],[Quantité]]</f>
        <v>42000</v>
      </c>
      <c r="L39" s="2"/>
    </row>
    <row r="40" spans="1:12" ht="18" customHeight="1">
      <c r="A40" s="6"/>
      <c r="B40" s="2"/>
      <c r="C40" s="14">
        <f t="shared" si="0"/>
        <v>24</v>
      </c>
      <c r="D40" s="15">
        <v>44676</v>
      </c>
      <c r="E40" s="35" t="s">
        <v>53</v>
      </c>
      <c r="F40" s="35" t="s">
        <v>66</v>
      </c>
      <c r="G40" s="35" t="s">
        <v>58</v>
      </c>
      <c r="H40" s="35" t="s">
        <v>32</v>
      </c>
      <c r="I40" s="36">
        <v>1400</v>
      </c>
      <c r="J40" s="37">
        <v>20</v>
      </c>
      <c r="K40" s="41">
        <f>listeAchats[[#This Row],[Coût d''achat]]*listeAchats[[#This Row],[Quantité]]</f>
        <v>28000</v>
      </c>
      <c r="L40" s="2"/>
    </row>
    <row r="41" spans="1:12" ht="18" customHeight="1">
      <c r="A41" s="6"/>
      <c r="B41" s="2"/>
      <c r="C41" s="14">
        <f t="shared" ref="C41:C61" si="1">C42+1</f>
        <v>23</v>
      </c>
      <c r="D41" s="15">
        <v>44646</v>
      </c>
      <c r="E41" s="35" t="s">
        <v>53</v>
      </c>
      <c r="F41" s="35" t="s">
        <v>66</v>
      </c>
      <c r="G41" s="35" t="s">
        <v>58</v>
      </c>
      <c r="H41" s="35" t="s">
        <v>32</v>
      </c>
      <c r="I41" s="36">
        <v>1400</v>
      </c>
      <c r="J41" s="37">
        <v>10</v>
      </c>
      <c r="K41" s="41">
        <f>listeAchats[[#This Row],[Coût d''achat]]*listeAchats[[#This Row],[Quantité]]</f>
        <v>14000</v>
      </c>
      <c r="L41" s="2"/>
    </row>
    <row r="42" spans="1:12" ht="18" customHeight="1">
      <c r="A42" s="6"/>
      <c r="B42" s="2"/>
      <c r="C42" s="14">
        <f t="shared" si="1"/>
        <v>22</v>
      </c>
      <c r="D42" s="15">
        <v>44594</v>
      </c>
      <c r="E42" s="35" t="s">
        <v>53</v>
      </c>
      <c r="F42" s="35" t="s">
        <v>66</v>
      </c>
      <c r="G42" s="35" t="s">
        <v>58</v>
      </c>
      <c r="H42" s="35" t="s">
        <v>32</v>
      </c>
      <c r="I42" s="36">
        <v>1400</v>
      </c>
      <c r="J42" s="37">
        <v>6</v>
      </c>
      <c r="K42" s="41">
        <f>listeAchats[[#This Row],[Coût d''achat]]*listeAchats[[#This Row],[Quantité]]</f>
        <v>8400</v>
      </c>
      <c r="L42" s="2"/>
    </row>
    <row r="43" spans="1:12" ht="18" customHeight="1">
      <c r="A43" s="6"/>
      <c r="B43" s="2"/>
      <c r="C43" s="14">
        <f t="shared" si="1"/>
        <v>21</v>
      </c>
      <c r="D43" s="15">
        <v>44593</v>
      </c>
      <c r="E43" s="35" t="s">
        <v>53</v>
      </c>
      <c r="F43" s="35" t="s">
        <v>66</v>
      </c>
      <c r="G43" s="35" t="s">
        <v>58</v>
      </c>
      <c r="H43" s="35" t="s">
        <v>32</v>
      </c>
      <c r="I43" s="36">
        <v>1400</v>
      </c>
      <c r="J43" s="37">
        <v>30</v>
      </c>
      <c r="K43" s="41">
        <f>listeAchats[[#This Row],[Coût d''achat]]*listeAchats[[#This Row],[Quantité]]</f>
        <v>42000</v>
      </c>
      <c r="L43" s="2"/>
    </row>
    <row r="44" spans="1:12" ht="18" customHeight="1">
      <c r="A44" s="6"/>
      <c r="B44" s="2"/>
      <c r="C44" s="14">
        <f t="shared" si="1"/>
        <v>20</v>
      </c>
      <c r="D44" s="15">
        <v>44689</v>
      </c>
      <c r="E44" s="35" t="s">
        <v>52</v>
      </c>
      <c r="F44" s="35" t="s">
        <v>51</v>
      </c>
      <c r="G44" s="35" t="s">
        <v>58</v>
      </c>
      <c r="H44" s="35" t="s">
        <v>32</v>
      </c>
      <c r="I44" s="36">
        <v>620</v>
      </c>
      <c r="J44" s="37">
        <v>3</v>
      </c>
      <c r="K44" s="41">
        <f>listeAchats[[#This Row],[Coût d''achat]]*listeAchats[[#This Row],[Quantité]]</f>
        <v>1860</v>
      </c>
      <c r="L44" s="2"/>
    </row>
    <row r="45" spans="1:12" ht="18" customHeight="1">
      <c r="A45" s="6"/>
      <c r="B45" s="2"/>
      <c r="C45" s="14">
        <f t="shared" si="1"/>
        <v>19</v>
      </c>
      <c r="D45" s="15">
        <v>44656</v>
      </c>
      <c r="E45" s="35" t="s">
        <v>52</v>
      </c>
      <c r="F45" s="35" t="s">
        <v>51</v>
      </c>
      <c r="G45" s="35" t="s">
        <v>58</v>
      </c>
      <c r="H45" s="35" t="s">
        <v>32</v>
      </c>
      <c r="I45" s="36">
        <v>600</v>
      </c>
      <c r="J45" s="37">
        <v>5</v>
      </c>
      <c r="K45" s="41">
        <f>listeAchats[[#This Row],[Coût d''achat]]*listeAchats[[#This Row],[Quantité]]</f>
        <v>3000</v>
      </c>
      <c r="L45" s="2"/>
    </row>
    <row r="46" spans="1:12" ht="18" customHeight="1">
      <c r="A46" s="6"/>
      <c r="B46" s="2"/>
      <c r="C46" s="14">
        <f t="shared" si="1"/>
        <v>18</v>
      </c>
      <c r="D46" s="15">
        <v>44623</v>
      </c>
      <c r="E46" s="35" t="s">
        <v>52</v>
      </c>
      <c r="F46" s="35" t="s">
        <v>51</v>
      </c>
      <c r="G46" s="35" t="s">
        <v>58</v>
      </c>
      <c r="H46" s="35" t="s">
        <v>32</v>
      </c>
      <c r="I46" s="36">
        <v>550</v>
      </c>
      <c r="J46" s="37">
        <v>2</v>
      </c>
      <c r="K46" s="41">
        <f>listeAchats[[#This Row],[Coût d''achat]]*listeAchats[[#This Row],[Quantité]]</f>
        <v>1100</v>
      </c>
      <c r="L46" s="2"/>
    </row>
    <row r="47" spans="1:12" ht="18" customHeight="1">
      <c r="A47" s="6"/>
      <c r="B47" s="2"/>
      <c r="C47" s="14">
        <f t="shared" si="1"/>
        <v>17</v>
      </c>
      <c r="D47" s="15">
        <v>44597</v>
      </c>
      <c r="E47" s="35" t="s">
        <v>52</v>
      </c>
      <c r="F47" s="35" t="s">
        <v>51</v>
      </c>
      <c r="G47" s="35" t="s">
        <v>58</v>
      </c>
      <c r="H47" s="35" t="s">
        <v>32</v>
      </c>
      <c r="I47" s="36">
        <v>600</v>
      </c>
      <c r="J47" s="37">
        <v>5</v>
      </c>
      <c r="K47" s="41">
        <f>listeAchats[[#This Row],[Coût d''achat]]*listeAchats[[#This Row],[Quantité]]</f>
        <v>3000</v>
      </c>
      <c r="L47" s="2"/>
    </row>
    <row r="48" spans="1:12" ht="18" customHeight="1">
      <c r="A48" s="6"/>
      <c r="B48" s="2"/>
      <c r="C48" s="14">
        <f t="shared" si="1"/>
        <v>16</v>
      </c>
      <c r="D48" s="15">
        <v>44581</v>
      </c>
      <c r="E48" s="35" t="s">
        <v>52</v>
      </c>
      <c r="F48" s="35" t="s">
        <v>51</v>
      </c>
      <c r="G48" s="35" t="s">
        <v>58</v>
      </c>
      <c r="H48" s="35" t="s">
        <v>32</v>
      </c>
      <c r="I48" s="36">
        <v>600</v>
      </c>
      <c r="J48" s="37">
        <v>40</v>
      </c>
      <c r="K48" s="41">
        <f>listeAchats[[#This Row],[Coût d''achat]]*listeAchats[[#This Row],[Quantité]]</f>
        <v>24000</v>
      </c>
      <c r="L48" s="2"/>
    </row>
    <row r="49" spans="1:12" ht="18" customHeight="1">
      <c r="A49" s="6"/>
      <c r="B49" s="2"/>
      <c r="C49" s="14">
        <f t="shared" si="1"/>
        <v>15</v>
      </c>
      <c r="D49" s="15">
        <v>44689</v>
      </c>
      <c r="E49" s="35" t="s">
        <v>56</v>
      </c>
      <c r="F49" s="35" t="s">
        <v>18</v>
      </c>
      <c r="G49" s="35" t="s">
        <v>19</v>
      </c>
      <c r="H49" s="35" t="s">
        <v>22</v>
      </c>
      <c r="I49" s="36">
        <v>4</v>
      </c>
      <c r="J49" s="37">
        <v>250</v>
      </c>
      <c r="K49" s="41">
        <f>listeAchats[[#This Row],[Coût d''achat]]*listeAchats[[#This Row],[Quantité]]</f>
        <v>1000</v>
      </c>
      <c r="L49" s="2"/>
    </row>
    <row r="50" spans="1:12" ht="18" customHeight="1">
      <c r="A50" s="6"/>
      <c r="B50" s="2"/>
      <c r="C50" s="14">
        <f t="shared" si="1"/>
        <v>14</v>
      </c>
      <c r="D50" s="15">
        <v>44676</v>
      </c>
      <c r="E50" s="35" t="s">
        <v>56</v>
      </c>
      <c r="F50" s="35" t="s">
        <v>18</v>
      </c>
      <c r="G50" s="35" t="s">
        <v>19</v>
      </c>
      <c r="H50" s="35" t="s">
        <v>22</v>
      </c>
      <c r="I50" s="36">
        <v>4</v>
      </c>
      <c r="J50" s="37">
        <v>30</v>
      </c>
      <c r="K50" s="41">
        <f>listeAchats[[#This Row],[Coût d''achat]]*listeAchats[[#This Row],[Quantité]]</f>
        <v>120</v>
      </c>
      <c r="L50" s="2"/>
    </row>
    <row r="51" spans="1:12" ht="18" customHeight="1">
      <c r="A51" s="6"/>
      <c r="B51" s="2"/>
      <c r="C51" s="14">
        <f t="shared" si="1"/>
        <v>13</v>
      </c>
      <c r="D51" s="15">
        <v>44640</v>
      </c>
      <c r="E51" s="35" t="s">
        <v>56</v>
      </c>
      <c r="F51" s="35" t="s">
        <v>18</v>
      </c>
      <c r="G51" s="35" t="s">
        <v>19</v>
      </c>
      <c r="H51" s="35" t="s">
        <v>22</v>
      </c>
      <c r="I51" s="36">
        <v>4</v>
      </c>
      <c r="J51" s="37">
        <v>20</v>
      </c>
      <c r="K51" s="41">
        <f>listeAchats[[#This Row],[Coût d''achat]]*listeAchats[[#This Row],[Quantité]]</f>
        <v>80</v>
      </c>
      <c r="L51" s="2"/>
    </row>
    <row r="52" spans="1:12" ht="18" customHeight="1">
      <c r="A52" s="6"/>
      <c r="B52" s="2"/>
      <c r="C52" s="14">
        <f t="shared" si="1"/>
        <v>12</v>
      </c>
      <c r="D52" s="15">
        <v>44597</v>
      </c>
      <c r="E52" s="35" t="s">
        <v>56</v>
      </c>
      <c r="F52" s="35" t="s">
        <v>18</v>
      </c>
      <c r="G52" s="35" t="s">
        <v>19</v>
      </c>
      <c r="H52" s="35" t="s">
        <v>22</v>
      </c>
      <c r="I52" s="36">
        <v>4</v>
      </c>
      <c r="J52" s="37">
        <v>10</v>
      </c>
      <c r="K52" s="41">
        <f>listeAchats[[#This Row],[Coût d''achat]]*listeAchats[[#This Row],[Quantité]]</f>
        <v>40</v>
      </c>
      <c r="L52" s="2"/>
    </row>
    <row r="53" spans="1:12" ht="18" customHeight="1">
      <c r="A53" s="6"/>
      <c r="B53" s="2"/>
      <c r="C53" s="14">
        <f t="shared" si="1"/>
        <v>11</v>
      </c>
      <c r="D53" s="15">
        <v>44686</v>
      </c>
      <c r="E53" s="35" t="s">
        <v>55</v>
      </c>
      <c r="F53" s="35" t="s">
        <v>18</v>
      </c>
      <c r="G53" s="35" t="s">
        <v>19</v>
      </c>
      <c r="H53" s="35" t="s">
        <v>21</v>
      </c>
      <c r="I53" s="36">
        <v>2</v>
      </c>
      <c r="J53" s="37">
        <v>50</v>
      </c>
      <c r="K53" s="41">
        <f>listeAchats[[#This Row],[Coût d''achat]]*listeAchats[[#This Row],[Quantité]]</f>
        <v>100</v>
      </c>
      <c r="L53" s="2"/>
    </row>
    <row r="54" spans="1:12" ht="18" customHeight="1">
      <c r="A54" s="6"/>
      <c r="B54" s="2"/>
      <c r="C54" s="14">
        <f t="shared" si="1"/>
        <v>10</v>
      </c>
      <c r="D54" s="15">
        <v>44656</v>
      </c>
      <c r="E54" s="35" t="s">
        <v>55</v>
      </c>
      <c r="F54" s="35" t="s">
        <v>18</v>
      </c>
      <c r="G54" s="35" t="s">
        <v>19</v>
      </c>
      <c r="H54" s="35" t="s">
        <v>21</v>
      </c>
      <c r="I54" s="36">
        <v>2</v>
      </c>
      <c r="J54" s="37">
        <v>5</v>
      </c>
      <c r="K54" s="41">
        <f>listeAchats[[#This Row],[Coût d''achat]]*listeAchats[[#This Row],[Quantité]]</f>
        <v>10</v>
      </c>
      <c r="L54" s="2"/>
    </row>
    <row r="55" spans="1:12" ht="18" customHeight="1">
      <c r="A55" s="6"/>
      <c r="B55" s="2"/>
      <c r="C55" s="14">
        <f t="shared" si="1"/>
        <v>9</v>
      </c>
      <c r="D55" s="15">
        <v>44622</v>
      </c>
      <c r="E55" s="35" t="s">
        <v>55</v>
      </c>
      <c r="F55" s="35" t="s">
        <v>18</v>
      </c>
      <c r="G55" s="35" t="s">
        <v>19</v>
      </c>
      <c r="H55" s="35" t="s">
        <v>21</v>
      </c>
      <c r="I55" s="36">
        <v>2</v>
      </c>
      <c r="J55" s="37">
        <v>4</v>
      </c>
      <c r="K55" s="41">
        <f>listeAchats[[#This Row],[Coût d''achat]]*listeAchats[[#This Row],[Quantité]]</f>
        <v>8</v>
      </c>
      <c r="L55" s="2"/>
    </row>
    <row r="56" spans="1:12" ht="18" customHeight="1">
      <c r="A56" s="6"/>
      <c r="B56" s="2"/>
      <c r="C56" s="14">
        <f t="shared" si="1"/>
        <v>8</v>
      </c>
      <c r="D56" s="15">
        <v>44617</v>
      </c>
      <c r="E56" s="35" t="s">
        <v>55</v>
      </c>
      <c r="F56" s="35" t="s">
        <v>18</v>
      </c>
      <c r="G56" s="35" t="s">
        <v>19</v>
      </c>
      <c r="H56" s="35" t="s">
        <v>21</v>
      </c>
      <c r="I56" s="36">
        <v>2</v>
      </c>
      <c r="J56" s="37">
        <v>60</v>
      </c>
      <c r="K56" s="41">
        <f>listeAchats[[#This Row],[Coût d''achat]]*listeAchats[[#This Row],[Quantité]]</f>
        <v>120</v>
      </c>
      <c r="L56" s="2"/>
    </row>
    <row r="57" spans="1:12" ht="18" customHeight="1">
      <c r="A57" s="6"/>
      <c r="B57" s="2"/>
      <c r="C57" s="14">
        <f t="shared" si="1"/>
        <v>7</v>
      </c>
      <c r="D57" s="15">
        <v>44686</v>
      </c>
      <c r="E57" s="35" t="s">
        <v>54</v>
      </c>
      <c r="F57" s="35" t="s">
        <v>18</v>
      </c>
      <c r="G57" s="35" t="s">
        <v>19</v>
      </c>
      <c r="H57" s="35" t="s">
        <v>20</v>
      </c>
      <c r="I57" s="36">
        <v>0.24</v>
      </c>
      <c r="J57" s="37">
        <v>10</v>
      </c>
      <c r="K57" s="41">
        <f>listeAchats[[#This Row],[Coût d''achat]]*listeAchats[[#This Row],[Quantité]]</f>
        <v>2.4</v>
      </c>
      <c r="L57" s="2"/>
    </row>
    <row r="58" spans="1:12" ht="18" customHeight="1">
      <c r="A58" s="6"/>
      <c r="B58" s="2"/>
      <c r="C58" s="14">
        <f t="shared" si="1"/>
        <v>6</v>
      </c>
      <c r="D58" s="15">
        <v>44654</v>
      </c>
      <c r="E58" s="35" t="s">
        <v>54</v>
      </c>
      <c r="F58" s="35" t="s">
        <v>18</v>
      </c>
      <c r="G58" s="35" t="s">
        <v>19</v>
      </c>
      <c r="H58" s="35" t="s">
        <v>20</v>
      </c>
      <c r="I58" s="36">
        <v>0.23</v>
      </c>
      <c r="J58" s="37">
        <v>5</v>
      </c>
      <c r="K58" s="41">
        <f>listeAchats[[#This Row],[Coût d''achat]]*listeAchats[[#This Row],[Quantité]]</f>
        <v>1.1500000000000001</v>
      </c>
      <c r="L58" s="2"/>
    </row>
    <row r="59" spans="1:12" ht="18" customHeight="1">
      <c r="A59" s="6"/>
      <c r="B59" s="2"/>
      <c r="C59" s="14">
        <f t="shared" si="1"/>
        <v>5</v>
      </c>
      <c r="D59" s="15">
        <v>44640</v>
      </c>
      <c r="E59" s="35" t="s">
        <v>54</v>
      </c>
      <c r="F59" s="35" t="s">
        <v>18</v>
      </c>
      <c r="G59" s="35" t="s">
        <v>19</v>
      </c>
      <c r="H59" s="35" t="s">
        <v>20</v>
      </c>
      <c r="I59" s="36">
        <v>0.2</v>
      </c>
      <c r="J59" s="37">
        <v>50</v>
      </c>
      <c r="K59" s="41">
        <f>listeAchats[[#This Row],[Coût d''achat]]*listeAchats[[#This Row],[Quantité]]</f>
        <v>10</v>
      </c>
      <c r="L59" s="2"/>
    </row>
    <row r="60" spans="1:12" ht="18" customHeight="1">
      <c r="A60" s="6"/>
      <c r="B60" s="2"/>
      <c r="C60" s="14">
        <f t="shared" si="1"/>
        <v>4</v>
      </c>
      <c r="D60" s="15">
        <v>44594</v>
      </c>
      <c r="E60" s="35" t="s">
        <v>54</v>
      </c>
      <c r="F60" s="35" t="s">
        <v>18</v>
      </c>
      <c r="G60" s="35" t="s">
        <v>19</v>
      </c>
      <c r="H60" s="35" t="s">
        <v>20</v>
      </c>
      <c r="I60" s="36">
        <v>0.22</v>
      </c>
      <c r="J60" s="37">
        <v>20</v>
      </c>
      <c r="K60" s="41">
        <f>listeAchats[[#This Row],[Coût d''achat]]*listeAchats[[#This Row],[Quantité]]</f>
        <v>4.4000000000000004</v>
      </c>
      <c r="L60" s="2"/>
    </row>
    <row r="61" spans="1:12" ht="18" customHeight="1">
      <c r="A61" s="6"/>
      <c r="B61" s="2"/>
      <c r="C61" s="14">
        <f t="shared" si="1"/>
        <v>3</v>
      </c>
      <c r="D61" s="15">
        <v>44586</v>
      </c>
      <c r="E61" s="35" t="s">
        <v>54</v>
      </c>
      <c r="F61" s="35" t="s">
        <v>18</v>
      </c>
      <c r="G61" s="35" t="s">
        <v>19</v>
      </c>
      <c r="H61" s="35" t="s">
        <v>20</v>
      </c>
      <c r="I61" s="36">
        <v>0.2</v>
      </c>
      <c r="J61" s="37">
        <v>10</v>
      </c>
      <c r="K61" s="41">
        <f>listeAchats[[#This Row],[Coût d''achat]]*listeAchats[[#This Row],[Quantité]]</f>
        <v>2</v>
      </c>
      <c r="L61" s="2"/>
    </row>
    <row r="62" spans="1:12" ht="18" customHeight="1">
      <c r="A62" s="6"/>
      <c r="B62" s="2"/>
      <c r="C62" s="14">
        <v>2</v>
      </c>
      <c r="D62" s="15">
        <v>44566</v>
      </c>
      <c r="E62" s="12" t="s">
        <v>55</v>
      </c>
      <c r="F62" s="12" t="s">
        <v>18</v>
      </c>
      <c r="G62" s="12" t="s">
        <v>19</v>
      </c>
      <c r="H62" s="12" t="s">
        <v>21</v>
      </c>
      <c r="I62" s="13">
        <v>2</v>
      </c>
      <c r="J62" s="37">
        <v>3</v>
      </c>
      <c r="K62" s="13">
        <f>listeAchats[[#This Row],[Coût d''achat]]*listeAchats[[#This Row],[Quantité]]</f>
        <v>6</v>
      </c>
      <c r="L62" s="2"/>
    </row>
    <row r="63" spans="1:12" ht="18" customHeight="1">
      <c r="B63" s="2"/>
      <c r="C63" s="14">
        <v>1</v>
      </c>
      <c r="D63" s="15">
        <v>44563</v>
      </c>
      <c r="E63" s="12" t="s">
        <v>56</v>
      </c>
      <c r="F63" s="12" t="s">
        <v>18</v>
      </c>
      <c r="G63" s="12" t="s">
        <v>19</v>
      </c>
      <c r="H63" s="12" t="s">
        <v>22</v>
      </c>
      <c r="I63" s="13">
        <v>4</v>
      </c>
      <c r="J63" s="37">
        <v>10</v>
      </c>
      <c r="K63" s="13">
        <f>listeAchats[[#This Row],[Coût d''achat]]*listeAchats[[#This Row],[Quantité]]</f>
        <v>40</v>
      </c>
      <c r="L63" s="2"/>
    </row>
    <row r="64" spans="1:12" ht="18" customHeight="1">
      <c r="B64" s="2"/>
      <c r="C64" s="2"/>
      <c r="D64" s="2"/>
      <c r="E64" s="2"/>
      <c r="F64" s="2"/>
      <c r="G64" s="2"/>
      <c r="H64" s="2"/>
      <c r="I64" s="2"/>
      <c r="J64" s="39"/>
      <c r="K64" s="2"/>
      <c r="L64" s="2"/>
    </row>
    <row r="65" spans="2:12" ht="18" customHeight="1">
      <c r="B65" s="2"/>
      <c r="C65" s="2"/>
      <c r="D65" s="2"/>
      <c r="E65" s="2"/>
      <c r="F65" s="34"/>
      <c r="G65" s="2"/>
      <c r="H65" s="2"/>
      <c r="I65" s="2"/>
      <c r="J65" s="39"/>
      <c r="K65" s="2"/>
      <c r="L65" s="2"/>
    </row>
    <row r="66" spans="2:12" ht="18" customHeight="1"/>
    <row r="67" spans="2:12" ht="19.899999999999999" customHeight="1"/>
  </sheetData>
  <mergeCells count="2">
    <mergeCell ref="C3:K3"/>
    <mergeCell ref="C4:J4"/>
  </mergeCells>
  <dataValidations count="1">
    <dataValidation type="date" operator="greaterThan" allowBlank="1" showInputMessage="1" showErrorMessage="1" error="Veuillez saisir une date correcte" sqref="D7:D61" xr:uid="{2DB9CBF5-089F-4564-B643-D23D426182B6}">
      <formula1>44561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F1206-68A9-4CBF-8A36-324E888FAAD7}">
  <sheetPr codeName="Feuil9"/>
  <dimension ref="A1:P70"/>
  <sheetViews>
    <sheetView zoomScale="115" zoomScaleNormal="115" workbookViewId="0">
      <selection activeCell="E8" sqref="E8"/>
    </sheetView>
  </sheetViews>
  <sheetFormatPr baseColWidth="10" defaultColWidth="8.85546875" defaultRowHeight="15"/>
  <cols>
    <col min="1" max="1" width="8.140625" style="1" customWidth="1"/>
    <col min="2" max="2" width="8.7109375" style="1" customWidth="1"/>
    <col min="3" max="3" width="9.42578125" style="1" customWidth="1"/>
    <col min="4" max="4" width="12.7109375" style="1" customWidth="1"/>
    <col min="5" max="5" width="11.5703125" style="1" customWidth="1"/>
    <col min="6" max="6" width="28.28515625" style="1" customWidth="1"/>
    <col min="7" max="7" width="19.85546875" style="1" customWidth="1"/>
    <col min="8" max="8" width="17.85546875" style="1" customWidth="1"/>
    <col min="9" max="9" width="13.7109375" style="1" customWidth="1"/>
    <col min="10" max="10" width="10.5703125" style="1" customWidth="1"/>
    <col min="11" max="11" width="21.28515625" style="1" customWidth="1"/>
    <col min="12" max="12" width="8.7109375" style="1" customWidth="1"/>
    <col min="13" max="24" width="12.7109375" style="1" customWidth="1"/>
    <col min="25" max="16384" width="8.85546875" style="1"/>
  </cols>
  <sheetData>
    <row r="1" spans="1:16" ht="22.15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6" ht="13.9" customHeight="1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6" ht="26.45" customHeight="1">
      <c r="A3" s="5"/>
      <c r="B3" s="2"/>
      <c r="C3" s="54" t="s">
        <v>45</v>
      </c>
      <c r="D3" s="54"/>
      <c r="E3" s="54"/>
      <c r="F3" s="54"/>
      <c r="G3" s="54"/>
      <c r="H3" s="54"/>
      <c r="I3" s="54"/>
      <c r="J3" s="54"/>
      <c r="K3" s="54"/>
      <c r="L3" s="3"/>
      <c r="M3" s="5"/>
      <c r="N3" s="5"/>
      <c r="O3" s="5"/>
      <c r="P3" s="5"/>
    </row>
    <row r="4" spans="1:16" ht="16.899999999999999" customHeight="1">
      <c r="A4" s="5"/>
      <c r="B4" s="2"/>
      <c r="C4" s="53" t="s">
        <v>46</v>
      </c>
      <c r="D4" s="53"/>
      <c r="E4" s="53"/>
      <c r="F4" s="53"/>
      <c r="G4" s="53"/>
      <c r="H4" s="53"/>
      <c r="I4" s="53"/>
      <c r="J4" s="53"/>
      <c r="K4" s="11"/>
      <c r="L4" s="11"/>
      <c r="M4" s="5"/>
      <c r="N4" s="5"/>
      <c r="O4" s="5"/>
      <c r="P4" s="5"/>
    </row>
    <row r="5" spans="1:16">
      <c r="B5" s="2"/>
      <c r="C5" s="2"/>
      <c r="D5" s="2"/>
      <c r="E5" s="2"/>
      <c r="F5" s="2"/>
      <c r="G5" s="2"/>
      <c r="H5" s="2"/>
      <c r="I5" s="2"/>
      <c r="J5" s="2"/>
      <c r="K5" s="2"/>
      <c r="L5" s="3"/>
    </row>
    <row r="6" spans="1:16" ht="18" customHeight="1">
      <c r="A6" s="6"/>
      <c r="B6" s="2"/>
      <c r="C6" s="10" t="s">
        <v>7</v>
      </c>
      <c r="D6" s="10" t="s">
        <v>2</v>
      </c>
      <c r="E6" s="10" t="s">
        <v>14</v>
      </c>
      <c r="F6" s="10" t="s">
        <v>0</v>
      </c>
      <c r="G6" s="10" t="s">
        <v>15</v>
      </c>
      <c r="H6" s="10" t="s">
        <v>8</v>
      </c>
      <c r="I6" s="10" t="s">
        <v>5</v>
      </c>
      <c r="J6" s="10" t="s">
        <v>1</v>
      </c>
      <c r="K6" s="10" t="s">
        <v>6</v>
      </c>
      <c r="L6" s="2"/>
    </row>
    <row r="7" spans="1:16" ht="18" customHeight="1">
      <c r="A7" s="6"/>
      <c r="B7" s="2"/>
      <c r="C7" s="14">
        <f>C8+1</f>
        <v>60</v>
      </c>
      <c r="D7" s="15">
        <v>44698</v>
      </c>
      <c r="E7" s="35" t="s">
        <v>55</v>
      </c>
      <c r="F7" s="35" t="s">
        <v>18</v>
      </c>
      <c r="G7" s="35" t="s">
        <v>19</v>
      </c>
      <c r="H7" s="35" t="s">
        <v>21</v>
      </c>
      <c r="I7" s="36">
        <v>2.5</v>
      </c>
      <c r="J7" s="37">
        <v>10</v>
      </c>
      <c r="K7" s="41">
        <f>listeVentes[[#This Row],[Prix de vente]]*listeVentes[[#This Row],[Quantité]]</f>
        <v>25</v>
      </c>
      <c r="L7" s="2"/>
    </row>
    <row r="8" spans="1:16" ht="18" customHeight="1">
      <c r="A8" s="6"/>
      <c r="B8" s="2"/>
      <c r="C8" s="14">
        <f>C9+1</f>
        <v>59</v>
      </c>
      <c r="D8" s="15">
        <v>44698</v>
      </c>
      <c r="E8" s="35" t="s">
        <v>38</v>
      </c>
      <c r="F8" s="35" t="s">
        <v>64</v>
      </c>
      <c r="G8" s="35" t="s">
        <v>60</v>
      </c>
      <c r="H8" s="35" t="s">
        <v>32</v>
      </c>
      <c r="I8" s="36">
        <v>800</v>
      </c>
      <c r="J8" s="37">
        <v>3</v>
      </c>
      <c r="K8" s="41">
        <f>listeVentes[[#This Row],[Prix de vente]]*listeVentes[[#This Row],[Quantité]]</f>
        <v>2400</v>
      </c>
      <c r="L8" s="2"/>
    </row>
    <row r="9" spans="1:16" ht="18" customHeight="1">
      <c r="A9" s="6"/>
      <c r="B9" s="2"/>
      <c r="C9" s="14">
        <f>C10+1</f>
        <v>58</v>
      </c>
      <c r="D9" s="15">
        <v>44670</v>
      </c>
      <c r="E9" s="35" t="s">
        <v>52</v>
      </c>
      <c r="F9" s="35" t="s">
        <v>51</v>
      </c>
      <c r="G9" s="35" t="s">
        <v>58</v>
      </c>
      <c r="H9" s="35" t="s">
        <v>32</v>
      </c>
      <c r="I9" s="36">
        <v>650</v>
      </c>
      <c r="J9" s="37">
        <v>2</v>
      </c>
      <c r="K9" s="41">
        <f>listeVentes[[#This Row],[Prix de vente]]*listeVentes[[#This Row],[Quantité]]</f>
        <v>1300</v>
      </c>
      <c r="L9" s="2"/>
    </row>
    <row r="10" spans="1:16" ht="18" customHeight="1">
      <c r="A10" s="6"/>
      <c r="B10" s="2"/>
      <c r="C10" s="14">
        <f t="shared" ref="C10:C41" si="0">C11+1</f>
        <v>57</v>
      </c>
      <c r="D10" s="15">
        <v>44662</v>
      </c>
      <c r="E10" s="35" t="s">
        <v>54</v>
      </c>
      <c r="F10" s="35" t="s">
        <v>18</v>
      </c>
      <c r="G10" s="35" t="s">
        <v>19</v>
      </c>
      <c r="H10" s="35" t="s">
        <v>20</v>
      </c>
      <c r="I10" s="36">
        <v>0.2</v>
      </c>
      <c r="J10" s="37">
        <v>20</v>
      </c>
      <c r="K10" s="41">
        <f>listeVentes[[#This Row],[Prix de vente]]*listeVentes[[#This Row],[Quantité]]</f>
        <v>4</v>
      </c>
      <c r="L10" s="2"/>
    </row>
    <row r="11" spans="1:16" ht="18" customHeight="1">
      <c r="A11" s="6"/>
      <c r="B11" s="2"/>
      <c r="C11" s="14">
        <f t="shared" si="0"/>
        <v>56</v>
      </c>
      <c r="D11" s="15">
        <v>44687</v>
      </c>
      <c r="E11" s="35" t="s">
        <v>41</v>
      </c>
      <c r="F11" s="35" t="s">
        <v>61</v>
      </c>
      <c r="G11" s="35" t="s">
        <v>60</v>
      </c>
      <c r="H11" s="35" t="s">
        <v>32</v>
      </c>
      <c r="I11" s="36">
        <v>600</v>
      </c>
      <c r="J11" s="37">
        <v>10</v>
      </c>
      <c r="K11" s="41">
        <f>listeVentes[[#This Row],[Prix de vente]]*listeVentes[[#This Row],[Quantité]]</f>
        <v>6000</v>
      </c>
      <c r="L11" s="2"/>
    </row>
    <row r="12" spans="1:16" ht="18" customHeight="1">
      <c r="A12" s="6"/>
      <c r="B12" s="2"/>
      <c r="C12" s="14">
        <f t="shared" si="0"/>
        <v>55</v>
      </c>
      <c r="D12" s="15">
        <v>44655</v>
      </c>
      <c r="E12" s="35" t="s">
        <v>41</v>
      </c>
      <c r="F12" s="35" t="s">
        <v>61</v>
      </c>
      <c r="G12" s="35" t="s">
        <v>60</v>
      </c>
      <c r="H12" s="35" t="s">
        <v>32</v>
      </c>
      <c r="I12" s="36">
        <v>590</v>
      </c>
      <c r="J12" s="37">
        <v>20</v>
      </c>
      <c r="K12" s="41">
        <f>listeVentes[[#This Row],[Prix de vente]]*listeVentes[[#This Row],[Quantité]]</f>
        <v>11800</v>
      </c>
      <c r="L12" s="2"/>
    </row>
    <row r="13" spans="1:16" ht="18" customHeight="1">
      <c r="A13" s="6"/>
      <c r="B13" s="2"/>
      <c r="C13" s="14">
        <f t="shared" si="0"/>
        <v>54</v>
      </c>
      <c r="D13" s="15">
        <v>44623</v>
      </c>
      <c r="E13" s="35" t="s">
        <v>41</v>
      </c>
      <c r="F13" s="35" t="s">
        <v>61</v>
      </c>
      <c r="G13" s="35" t="s">
        <v>60</v>
      </c>
      <c r="H13" s="35" t="s">
        <v>32</v>
      </c>
      <c r="I13" s="36">
        <v>580</v>
      </c>
      <c r="J13" s="37">
        <v>20</v>
      </c>
      <c r="K13" s="41">
        <f>listeVentes[[#This Row],[Prix de vente]]*listeVentes[[#This Row],[Quantité]]</f>
        <v>11600</v>
      </c>
      <c r="L13" s="2"/>
    </row>
    <row r="14" spans="1:16" ht="18" customHeight="1">
      <c r="A14" s="6"/>
      <c r="B14" s="2"/>
      <c r="C14" s="14">
        <f t="shared" si="0"/>
        <v>53</v>
      </c>
      <c r="D14" s="15">
        <v>44598</v>
      </c>
      <c r="E14" s="35" t="s">
        <v>41</v>
      </c>
      <c r="F14" s="35" t="s">
        <v>61</v>
      </c>
      <c r="G14" s="35" t="s">
        <v>60</v>
      </c>
      <c r="H14" s="35" t="s">
        <v>32</v>
      </c>
      <c r="I14" s="36">
        <v>600</v>
      </c>
      <c r="J14" s="37">
        <v>5</v>
      </c>
      <c r="K14" s="41">
        <f>listeVentes[[#This Row],[Prix de vente]]*listeVentes[[#This Row],[Quantité]]</f>
        <v>3000</v>
      </c>
      <c r="L14" s="2"/>
    </row>
    <row r="15" spans="1:16" ht="18" customHeight="1">
      <c r="A15" s="6"/>
      <c r="B15" s="2"/>
      <c r="C15" s="14">
        <f t="shared" si="0"/>
        <v>52</v>
      </c>
      <c r="D15" s="15">
        <v>44562</v>
      </c>
      <c r="E15" s="35" t="s">
        <v>41</v>
      </c>
      <c r="F15" s="35" t="s">
        <v>61</v>
      </c>
      <c r="G15" s="35" t="s">
        <v>60</v>
      </c>
      <c r="H15" s="35" t="s">
        <v>32</v>
      </c>
      <c r="I15" s="36">
        <v>600</v>
      </c>
      <c r="J15" s="37">
        <v>5</v>
      </c>
      <c r="K15" s="41">
        <f>listeVentes[[#This Row],[Prix de vente]]*listeVentes[[#This Row],[Quantité]]</f>
        <v>3000</v>
      </c>
      <c r="L15" s="2"/>
    </row>
    <row r="16" spans="1:16" ht="18" customHeight="1">
      <c r="A16" s="6"/>
      <c r="B16" s="2"/>
      <c r="C16" s="14">
        <f t="shared" si="0"/>
        <v>51</v>
      </c>
      <c r="D16" s="15">
        <v>44686</v>
      </c>
      <c r="E16" s="35" t="s">
        <v>40</v>
      </c>
      <c r="F16" s="35" t="s">
        <v>62</v>
      </c>
      <c r="G16" s="35" t="s">
        <v>60</v>
      </c>
      <c r="H16" s="35" t="s">
        <v>32</v>
      </c>
      <c r="I16" s="36">
        <v>220</v>
      </c>
      <c r="J16" s="37">
        <v>3</v>
      </c>
      <c r="K16" s="41">
        <f>listeVentes[[#This Row],[Prix de vente]]*listeVentes[[#This Row],[Quantité]]</f>
        <v>660</v>
      </c>
      <c r="L16" s="2"/>
    </row>
    <row r="17" spans="1:12" ht="18" customHeight="1">
      <c r="A17" s="6"/>
      <c r="B17" s="2"/>
      <c r="C17" s="14">
        <f t="shared" si="0"/>
        <v>50</v>
      </c>
      <c r="D17" s="15">
        <v>44655</v>
      </c>
      <c r="E17" s="35" t="s">
        <v>40</v>
      </c>
      <c r="F17" s="35" t="s">
        <v>62</v>
      </c>
      <c r="G17" s="35" t="s">
        <v>60</v>
      </c>
      <c r="H17" s="35" t="s">
        <v>32</v>
      </c>
      <c r="I17" s="36">
        <v>200</v>
      </c>
      <c r="J17" s="37">
        <v>5</v>
      </c>
      <c r="K17" s="41">
        <f>listeVentes[[#This Row],[Prix de vente]]*listeVentes[[#This Row],[Quantité]]</f>
        <v>1000</v>
      </c>
      <c r="L17" s="2"/>
    </row>
    <row r="18" spans="1:12" ht="18" customHeight="1">
      <c r="A18" s="6"/>
      <c r="B18" s="2"/>
      <c r="C18" s="14">
        <f t="shared" si="0"/>
        <v>49</v>
      </c>
      <c r="D18" s="15">
        <v>44625</v>
      </c>
      <c r="E18" s="35" t="s">
        <v>40</v>
      </c>
      <c r="F18" s="35" t="s">
        <v>62</v>
      </c>
      <c r="G18" s="35" t="s">
        <v>60</v>
      </c>
      <c r="H18" s="35" t="s">
        <v>32</v>
      </c>
      <c r="I18" s="36">
        <v>250</v>
      </c>
      <c r="J18" s="37">
        <v>10</v>
      </c>
      <c r="K18" s="41">
        <f>listeVentes[[#This Row],[Prix de vente]]*listeVentes[[#This Row],[Quantité]]</f>
        <v>2500</v>
      </c>
      <c r="L18" s="2"/>
    </row>
    <row r="19" spans="1:12" ht="18" customHeight="1">
      <c r="A19" s="6"/>
      <c r="B19" s="2"/>
      <c r="C19" s="14">
        <f t="shared" si="0"/>
        <v>48</v>
      </c>
      <c r="D19" s="15">
        <v>44597</v>
      </c>
      <c r="E19" s="35" t="s">
        <v>40</v>
      </c>
      <c r="F19" s="35" t="s">
        <v>62</v>
      </c>
      <c r="G19" s="35" t="s">
        <v>60</v>
      </c>
      <c r="H19" s="35" t="s">
        <v>32</v>
      </c>
      <c r="I19" s="36">
        <v>200</v>
      </c>
      <c r="J19" s="37">
        <v>5</v>
      </c>
      <c r="K19" s="41">
        <f>listeVentes[[#This Row],[Prix de vente]]*listeVentes[[#This Row],[Quantité]]</f>
        <v>1000</v>
      </c>
      <c r="L19" s="2"/>
    </row>
    <row r="20" spans="1:12" ht="18" customHeight="1">
      <c r="A20" s="6"/>
      <c r="B20" s="2"/>
      <c r="C20" s="14">
        <f t="shared" si="0"/>
        <v>47</v>
      </c>
      <c r="D20" s="15">
        <v>44562</v>
      </c>
      <c r="E20" s="35" t="s">
        <v>40</v>
      </c>
      <c r="F20" s="35" t="s">
        <v>62</v>
      </c>
      <c r="G20" s="35" t="s">
        <v>60</v>
      </c>
      <c r="H20" s="35" t="s">
        <v>32</v>
      </c>
      <c r="I20" s="36">
        <v>200</v>
      </c>
      <c r="J20" s="37">
        <v>5</v>
      </c>
      <c r="K20" s="41">
        <f>listeVentes[[#This Row],[Prix de vente]]*listeVentes[[#This Row],[Quantité]]</f>
        <v>1000</v>
      </c>
      <c r="L20" s="2"/>
    </row>
    <row r="21" spans="1:12" ht="18" customHeight="1">
      <c r="A21" s="6"/>
      <c r="B21" s="2"/>
      <c r="C21" s="14">
        <f t="shared" si="0"/>
        <v>46</v>
      </c>
      <c r="D21" s="15">
        <v>44685</v>
      </c>
      <c r="E21" s="35" t="s">
        <v>39</v>
      </c>
      <c r="F21" s="35" t="s">
        <v>63</v>
      </c>
      <c r="G21" s="35" t="s">
        <v>60</v>
      </c>
      <c r="H21" s="35" t="s">
        <v>32</v>
      </c>
      <c r="I21" s="36">
        <v>400</v>
      </c>
      <c r="J21" s="37">
        <v>2</v>
      </c>
      <c r="K21" s="41">
        <f>listeVentes[[#This Row],[Prix de vente]]*listeVentes[[#This Row],[Quantité]]</f>
        <v>800</v>
      </c>
      <c r="L21" s="2"/>
    </row>
    <row r="22" spans="1:12" ht="18" customHeight="1">
      <c r="A22" s="6"/>
      <c r="B22" s="2"/>
      <c r="C22" s="14">
        <f t="shared" si="0"/>
        <v>45</v>
      </c>
      <c r="D22" s="15">
        <v>44655</v>
      </c>
      <c r="E22" s="35" t="s">
        <v>39</v>
      </c>
      <c r="F22" s="35" t="s">
        <v>63</v>
      </c>
      <c r="G22" s="35" t="s">
        <v>60</v>
      </c>
      <c r="H22" s="35" t="s">
        <v>32</v>
      </c>
      <c r="I22" s="36">
        <v>400</v>
      </c>
      <c r="J22" s="37">
        <v>7</v>
      </c>
      <c r="K22" s="41">
        <f>listeVentes[[#This Row],[Prix de vente]]*listeVentes[[#This Row],[Quantité]]</f>
        <v>2800</v>
      </c>
      <c r="L22" s="2"/>
    </row>
    <row r="23" spans="1:12" ht="18" customHeight="1">
      <c r="A23" s="6"/>
      <c r="B23" s="2"/>
      <c r="C23" s="14">
        <f t="shared" si="0"/>
        <v>44</v>
      </c>
      <c r="D23" s="15">
        <v>44624</v>
      </c>
      <c r="E23" s="35" t="s">
        <v>39</v>
      </c>
      <c r="F23" s="35" t="s">
        <v>63</v>
      </c>
      <c r="G23" s="35" t="s">
        <v>60</v>
      </c>
      <c r="H23" s="35" t="s">
        <v>32</v>
      </c>
      <c r="I23" s="36">
        <v>400</v>
      </c>
      <c r="J23" s="37">
        <v>5</v>
      </c>
      <c r="K23" s="41">
        <f>listeVentes[[#This Row],[Prix de vente]]*listeVentes[[#This Row],[Quantité]]</f>
        <v>2000</v>
      </c>
      <c r="L23" s="2"/>
    </row>
    <row r="24" spans="1:12" ht="18" customHeight="1">
      <c r="A24" s="6"/>
      <c r="B24" s="2"/>
      <c r="C24" s="14">
        <f t="shared" si="0"/>
        <v>43</v>
      </c>
      <c r="D24" s="15">
        <v>44612</v>
      </c>
      <c r="E24" s="35" t="s">
        <v>39</v>
      </c>
      <c r="F24" s="35" t="s">
        <v>63</v>
      </c>
      <c r="G24" s="35" t="s">
        <v>60</v>
      </c>
      <c r="H24" s="35" t="s">
        <v>32</v>
      </c>
      <c r="I24" s="36">
        <v>400</v>
      </c>
      <c r="J24" s="37">
        <v>5</v>
      </c>
      <c r="K24" s="41">
        <f>listeVentes[[#This Row],[Prix de vente]]*listeVentes[[#This Row],[Quantité]]</f>
        <v>2000</v>
      </c>
      <c r="L24" s="2"/>
    </row>
    <row r="25" spans="1:12" ht="18" customHeight="1">
      <c r="A25" s="6"/>
      <c r="B25" s="2"/>
      <c r="C25" s="14">
        <f t="shared" si="0"/>
        <v>42</v>
      </c>
      <c r="D25" s="15">
        <v>44563</v>
      </c>
      <c r="E25" s="35" t="s">
        <v>39</v>
      </c>
      <c r="F25" s="35" t="s">
        <v>63</v>
      </c>
      <c r="G25" s="35" t="s">
        <v>60</v>
      </c>
      <c r="H25" s="35" t="s">
        <v>32</v>
      </c>
      <c r="I25" s="36">
        <v>400</v>
      </c>
      <c r="J25" s="37">
        <v>5</v>
      </c>
      <c r="K25" s="41">
        <f>listeVentes[[#This Row],[Prix de vente]]*listeVentes[[#This Row],[Quantité]]</f>
        <v>2000</v>
      </c>
      <c r="L25" s="2"/>
    </row>
    <row r="26" spans="1:12" ht="18" customHeight="1">
      <c r="A26" s="6"/>
      <c r="B26" s="2"/>
      <c r="C26" s="14">
        <f t="shared" si="0"/>
        <v>41</v>
      </c>
      <c r="D26" s="15">
        <v>44696</v>
      </c>
      <c r="E26" s="35" t="s">
        <v>38</v>
      </c>
      <c r="F26" s="35" t="s">
        <v>65</v>
      </c>
      <c r="G26" s="35" t="s">
        <v>60</v>
      </c>
      <c r="H26" s="35" t="s">
        <v>32</v>
      </c>
      <c r="I26" s="36">
        <v>800</v>
      </c>
      <c r="J26" s="37">
        <v>2</v>
      </c>
      <c r="K26" s="41">
        <f>listeVentes[[#This Row],[Prix de vente]]*listeVentes[[#This Row],[Quantité]]</f>
        <v>1600</v>
      </c>
      <c r="L26" s="2"/>
    </row>
    <row r="27" spans="1:12" ht="18" customHeight="1">
      <c r="A27" s="6"/>
      <c r="B27" s="2"/>
      <c r="C27" s="14">
        <f t="shared" si="0"/>
        <v>40</v>
      </c>
      <c r="D27" s="15">
        <v>44655</v>
      </c>
      <c r="E27" s="35" t="s">
        <v>38</v>
      </c>
      <c r="F27" s="35" t="s">
        <v>65</v>
      </c>
      <c r="G27" s="35" t="s">
        <v>60</v>
      </c>
      <c r="H27" s="35" t="s">
        <v>32</v>
      </c>
      <c r="I27" s="36">
        <v>800</v>
      </c>
      <c r="J27" s="37">
        <v>2</v>
      </c>
      <c r="K27" s="41">
        <f>listeVentes[[#This Row],[Prix de vente]]*listeVentes[[#This Row],[Quantité]]</f>
        <v>1600</v>
      </c>
      <c r="L27" s="2"/>
    </row>
    <row r="28" spans="1:12" ht="18" customHeight="1">
      <c r="A28" s="6"/>
      <c r="B28" s="2"/>
      <c r="C28" s="14">
        <f t="shared" si="0"/>
        <v>39</v>
      </c>
      <c r="D28" s="15">
        <v>44646</v>
      </c>
      <c r="E28" s="35" t="s">
        <v>38</v>
      </c>
      <c r="F28" s="35" t="s">
        <v>65</v>
      </c>
      <c r="G28" s="35" t="s">
        <v>60</v>
      </c>
      <c r="H28" s="35" t="s">
        <v>32</v>
      </c>
      <c r="I28" s="36">
        <v>800</v>
      </c>
      <c r="J28" s="37">
        <v>6</v>
      </c>
      <c r="K28" s="41">
        <f>listeVentes[[#This Row],[Prix de vente]]*listeVentes[[#This Row],[Quantité]]</f>
        <v>4800</v>
      </c>
      <c r="L28" s="2"/>
    </row>
    <row r="29" spans="1:12" ht="18" customHeight="1">
      <c r="A29" s="6"/>
      <c r="B29" s="2"/>
      <c r="C29" s="14">
        <f t="shared" si="0"/>
        <v>38</v>
      </c>
      <c r="D29" s="15">
        <v>44598</v>
      </c>
      <c r="E29" s="35" t="s">
        <v>38</v>
      </c>
      <c r="F29" s="35" t="s">
        <v>65</v>
      </c>
      <c r="G29" s="35" t="s">
        <v>60</v>
      </c>
      <c r="H29" s="35" t="s">
        <v>32</v>
      </c>
      <c r="I29" s="36">
        <v>800</v>
      </c>
      <c r="J29" s="37">
        <v>6</v>
      </c>
      <c r="K29" s="41">
        <f>listeVentes[[#This Row],[Prix de vente]]*listeVentes[[#This Row],[Quantité]]</f>
        <v>4800</v>
      </c>
      <c r="L29" s="2"/>
    </row>
    <row r="30" spans="1:12" ht="18" customHeight="1">
      <c r="A30" s="6"/>
      <c r="B30" s="2"/>
      <c r="C30" s="14">
        <f t="shared" si="0"/>
        <v>37</v>
      </c>
      <c r="D30" s="15">
        <v>44563</v>
      </c>
      <c r="E30" s="35" t="s">
        <v>38</v>
      </c>
      <c r="F30" s="35" t="s">
        <v>65</v>
      </c>
      <c r="G30" s="35" t="s">
        <v>60</v>
      </c>
      <c r="H30" s="35" t="s">
        <v>32</v>
      </c>
      <c r="I30" s="36">
        <v>800</v>
      </c>
      <c r="J30" s="37">
        <v>2</v>
      </c>
      <c r="K30" s="41">
        <f>listeVentes[[#This Row],[Prix de vente]]*listeVentes[[#This Row],[Quantité]]</f>
        <v>1600</v>
      </c>
      <c r="L30" s="2"/>
    </row>
    <row r="31" spans="1:12" ht="18" customHeight="1">
      <c r="A31" s="6"/>
      <c r="B31" s="2"/>
      <c r="C31" s="14">
        <f t="shared" si="0"/>
        <v>36</v>
      </c>
      <c r="D31" s="15">
        <v>44686</v>
      </c>
      <c r="E31" s="35" t="s">
        <v>36</v>
      </c>
      <c r="F31" s="35" t="s">
        <v>50</v>
      </c>
      <c r="G31" s="35" t="s">
        <v>59</v>
      </c>
      <c r="H31" s="35" t="s">
        <v>32</v>
      </c>
      <c r="I31" s="36">
        <v>550</v>
      </c>
      <c r="J31" s="37">
        <v>2</v>
      </c>
      <c r="K31" s="41">
        <f>listeVentes[[#This Row],[Prix de vente]]*listeVentes[[#This Row],[Quantité]]</f>
        <v>1100</v>
      </c>
      <c r="L31" s="2"/>
    </row>
    <row r="32" spans="1:12" ht="18" customHeight="1">
      <c r="A32" s="6"/>
      <c r="B32" s="2"/>
      <c r="C32" s="14">
        <f t="shared" si="0"/>
        <v>35</v>
      </c>
      <c r="D32" s="15">
        <v>44655</v>
      </c>
      <c r="E32" s="35" t="s">
        <v>36</v>
      </c>
      <c r="F32" s="35" t="s">
        <v>50</v>
      </c>
      <c r="G32" s="35" t="s">
        <v>59</v>
      </c>
      <c r="H32" s="35" t="s">
        <v>32</v>
      </c>
      <c r="I32" s="36">
        <v>550</v>
      </c>
      <c r="J32" s="37">
        <v>10</v>
      </c>
      <c r="K32" s="41">
        <f>listeVentes[[#This Row],[Prix de vente]]*listeVentes[[#This Row],[Quantité]]</f>
        <v>5500</v>
      </c>
      <c r="L32" s="2"/>
    </row>
    <row r="33" spans="1:12" ht="18" customHeight="1">
      <c r="A33" s="6"/>
      <c r="B33" s="2"/>
      <c r="C33" s="14">
        <f t="shared" si="0"/>
        <v>34</v>
      </c>
      <c r="D33" s="15">
        <v>44625</v>
      </c>
      <c r="E33" s="35" t="s">
        <v>36</v>
      </c>
      <c r="F33" s="35" t="s">
        <v>50</v>
      </c>
      <c r="G33" s="35" t="s">
        <v>59</v>
      </c>
      <c r="H33" s="35" t="s">
        <v>32</v>
      </c>
      <c r="I33" s="36">
        <v>520</v>
      </c>
      <c r="J33" s="37">
        <v>6</v>
      </c>
      <c r="K33" s="41">
        <f>listeVentes[[#This Row],[Prix de vente]]*listeVentes[[#This Row],[Quantité]]</f>
        <v>3120</v>
      </c>
      <c r="L33" s="2"/>
    </row>
    <row r="34" spans="1:12" ht="18" customHeight="1">
      <c r="A34" s="6"/>
      <c r="B34" s="2"/>
      <c r="C34" s="14">
        <f t="shared" si="0"/>
        <v>33</v>
      </c>
      <c r="D34" s="15">
        <v>44601</v>
      </c>
      <c r="E34" s="35" t="s">
        <v>36</v>
      </c>
      <c r="F34" s="35" t="s">
        <v>50</v>
      </c>
      <c r="G34" s="35" t="s">
        <v>59</v>
      </c>
      <c r="H34" s="35" t="s">
        <v>32</v>
      </c>
      <c r="I34" s="36">
        <v>600</v>
      </c>
      <c r="J34" s="37">
        <v>20</v>
      </c>
      <c r="K34" s="41">
        <f>listeVentes[[#This Row],[Prix de vente]]*listeVentes[[#This Row],[Quantité]]</f>
        <v>12000</v>
      </c>
      <c r="L34" s="2"/>
    </row>
    <row r="35" spans="1:12" ht="18" customHeight="1">
      <c r="A35" s="6"/>
      <c r="B35" s="2"/>
      <c r="C35" s="14">
        <f t="shared" si="0"/>
        <v>32</v>
      </c>
      <c r="D35" s="15">
        <v>44567</v>
      </c>
      <c r="E35" s="35" t="s">
        <v>36</v>
      </c>
      <c r="F35" s="35" t="s">
        <v>50</v>
      </c>
      <c r="G35" s="35" t="s">
        <v>59</v>
      </c>
      <c r="H35" s="35" t="s">
        <v>32</v>
      </c>
      <c r="I35" s="36">
        <v>550</v>
      </c>
      <c r="J35" s="37">
        <v>6</v>
      </c>
      <c r="K35" s="41">
        <f>listeVentes[[#This Row],[Prix de vente]]*listeVentes[[#This Row],[Quantité]]</f>
        <v>3300</v>
      </c>
      <c r="L35" s="2"/>
    </row>
    <row r="36" spans="1:12" ht="18" customHeight="1">
      <c r="A36" s="6"/>
      <c r="B36" s="2"/>
      <c r="C36" s="14">
        <f t="shared" si="0"/>
        <v>31</v>
      </c>
      <c r="D36" s="15">
        <v>44684</v>
      </c>
      <c r="E36" s="35" t="s">
        <v>35</v>
      </c>
      <c r="F36" s="35" t="s">
        <v>49</v>
      </c>
      <c r="G36" s="35" t="s">
        <v>59</v>
      </c>
      <c r="H36" s="35" t="s">
        <v>32</v>
      </c>
      <c r="I36" s="36">
        <v>800</v>
      </c>
      <c r="J36" s="37">
        <v>10</v>
      </c>
      <c r="K36" s="41">
        <f>listeVentes[[#This Row],[Prix de vente]]*listeVentes[[#This Row],[Quantité]]</f>
        <v>8000</v>
      </c>
      <c r="L36" s="2"/>
    </row>
    <row r="37" spans="1:12" ht="18" customHeight="1">
      <c r="A37" s="6"/>
      <c r="B37" s="2"/>
      <c r="C37" s="14">
        <f t="shared" si="0"/>
        <v>30</v>
      </c>
      <c r="D37" s="15">
        <v>44672</v>
      </c>
      <c r="E37" s="35" t="s">
        <v>35</v>
      </c>
      <c r="F37" s="35" t="s">
        <v>49</v>
      </c>
      <c r="G37" s="35" t="s">
        <v>59</v>
      </c>
      <c r="H37" s="35" t="s">
        <v>32</v>
      </c>
      <c r="I37" s="36">
        <v>800</v>
      </c>
      <c r="J37" s="37">
        <v>5</v>
      </c>
      <c r="K37" s="41">
        <f>listeVentes[[#This Row],[Prix de vente]]*listeVentes[[#This Row],[Quantité]]</f>
        <v>4000</v>
      </c>
      <c r="L37" s="2"/>
    </row>
    <row r="38" spans="1:12" ht="18" customHeight="1">
      <c r="A38" s="6"/>
      <c r="B38" s="2"/>
      <c r="C38" s="14">
        <f t="shared" si="0"/>
        <v>29</v>
      </c>
      <c r="D38" s="15">
        <v>44626</v>
      </c>
      <c r="E38" s="35" t="s">
        <v>35</v>
      </c>
      <c r="F38" s="35" t="s">
        <v>49</v>
      </c>
      <c r="G38" s="35" t="s">
        <v>59</v>
      </c>
      <c r="H38" s="35" t="s">
        <v>32</v>
      </c>
      <c r="I38" s="36">
        <v>820</v>
      </c>
      <c r="J38" s="37">
        <v>10</v>
      </c>
      <c r="K38" s="41">
        <f>listeVentes[[#This Row],[Prix de vente]]*listeVentes[[#This Row],[Quantité]]</f>
        <v>8200</v>
      </c>
      <c r="L38" s="2"/>
    </row>
    <row r="39" spans="1:12" ht="18" customHeight="1">
      <c r="A39" s="6"/>
      <c r="B39" s="2"/>
      <c r="C39" s="14">
        <f t="shared" si="0"/>
        <v>28</v>
      </c>
      <c r="D39" s="15">
        <v>44597</v>
      </c>
      <c r="E39" s="35" t="s">
        <v>35</v>
      </c>
      <c r="F39" s="35" t="s">
        <v>49</v>
      </c>
      <c r="G39" s="35" t="s">
        <v>59</v>
      </c>
      <c r="H39" s="35" t="s">
        <v>32</v>
      </c>
      <c r="I39" s="36">
        <v>820</v>
      </c>
      <c r="J39" s="37">
        <v>5</v>
      </c>
      <c r="K39" s="41">
        <f>listeVentes[[#This Row],[Prix de vente]]*listeVentes[[#This Row],[Quantité]]</f>
        <v>4100</v>
      </c>
      <c r="L39" s="2"/>
    </row>
    <row r="40" spans="1:12" ht="18" customHeight="1">
      <c r="A40" s="6"/>
      <c r="B40" s="2"/>
      <c r="C40" s="14">
        <f t="shared" si="0"/>
        <v>27</v>
      </c>
      <c r="D40" s="15">
        <v>44563</v>
      </c>
      <c r="E40" s="35" t="s">
        <v>35</v>
      </c>
      <c r="F40" s="35" t="s">
        <v>49</v>
      </c>
      <c r="G40" s="35" t="s">
        <v>59</v>
      </c>
      <c r="H40" s="35" t="s">
        <v>32</v>
      </c>
      <c r="I40" s="36">
        <v>800</v>
      </c>
      <c r="J40" s="37">
        <v>10</v>
      </c>
      <c r="K40" s="41">
        <f>listeVentes[[#This Row],[Prix de vente]]*listeVentes[[#This Row],[Quantité]]</f>
        <v>8000</v>
      </c>
      <c r="L40" s="2"/>
    </row>
    <row r="41" spans="1:12" ht="18" customHeight="1">
      <c r="A41" s="6"/>
      <c r="B41" s="2"/>
      <c r="C41" s="14">
        <f t="shared" si="0"/>
        <v>26</v>
      </c>
      <c r="D41" s="15">
        <v>44687</v>
      </c>
      <c r="E41" s="35" t="s">
        <v>53</v>
      </c>
      <c r="F41" s="35" t="s">
        <v>66</v>
      </c>
      <c r="G41" s="35" t="s">
        <v>58</v>
      </c>
      <c r="H41" s="35" t="s">
        <v>32</v>
      </c>
      <c r="I41" s="36">
        <v>1500</v>
      </c>
      <c r="J41" s="37">
        <v>12</v>
      </c>
      <c r="K41" s="41">
        <f>listeVentes[[#This Row],[Prix de vente]]*listeVentes[[#This Row],[Quantité]]</f>
        <v>18000</v>
      </c>
      <c r="L41" s="2"/>
    </row>
    <row r="42" spans="1:12" ht="18" customHeight="1">
      <c r="A42" s="6"/>
      <c r="B42" s="2"/>
      <c r="C42" s="14">
        <f t="shared" ref="C42:C62" si="1">C43+1</f>
        <v>25</v>
      </c>
      <c r="D42" s="15">
        <v>44655</v>
      </c>
      <c r="E42" s="35" t="s">
        <v>53</v>
      </c>
      <c r="F42" s="35" t="s">
        <v>66</v>
      </c>
      <c r="G42" s="35" t="s">
        <v>58</v>
      </c>
      <c r="H42" s="35" t="s">
        <v>32</v>
      </c>
      <c r="I42" s="36">
        <v>1500</v>
      </c>
      <c r="J42" s="37">
        <v>30</v>
      </c>
      <c r="K42" s="41">
        <f>listeVentes[[#This Row],[Prix de vente]]*listeVentes[[#This Row],[Quantité]]</f>
        <v>45000</v>
      </c>
      <c r="L42" s="2"/>
    </row>
    <row r="43" spans="1:12" ht="18" customHeight="1">
      <c r="A43" s="6"/>
      <c r="B43" s="2"/>
      <c r="C43" s="14">
        <f t="shared" si="1"/>
        <v>24</v>
      </c>
      <c r="D43" s="15">
        <v>44626</v>
      </c>
      <c r="E43" s="35" t="s">
        <v>53</v>
      </c>
      <c r="F43" s="35" t="s">
        <v>66</v>
      </c>
      <c r="G43" s="35" t="s">
        <v>58</v>
      </c>
      <c r="H43" s="35" t="s">
        <v>32</v>
      </c>
      <c r="I43" s="36">
        <v>1500</v>
      </c>
      <c r="J43" s="37">
        <v>15</v>
      </c>
      <c r="K43" s="41">
        <f>listeVentes[[#This Row],[Prix de vente]]*listeVentes[[#This Row],[Quantité]]</f>
        <v>22500</v>
      </c>
      <c r="L43" s="2"/>
    </row>
    <row r="44" spans="1:12" ht="18" customHeight="1">
      <c r="A44" s="6"/>
      <c r="B44" s="2"/>
      <c r="C44" s="14">
        <f t="shared" si="1"/>
        <v>23</v>
      </c>
      <c r="D44" s="15">
        <v>44594</v>
      </c>
      <c r="E44" s="35" t="s">
        <v>53</v>
      </c>
      <c r="F44" s="35" t="s">
        <v>66</v>
      </c>
      <c r="G44" s="35" t="s">
        <v>58</v>
      </c>
      <c r="H44" s="35" t="s">
        <v>32</v>
      </c>
      <c r="I44" s="36">
        <v>1500</v>
      </c>
      <c r="J44" s="37">
        <v>20</v>
      </c>
      <c r="K44" s="41">
        <f>listeVentes[[#This Row],[Prix de vente]]*listeVentes[[#This Row],[Quantité]]</f>
        <v>30000</v>
      </c>
      <c r="L44" s="2"/>
    </row>
    <row r="45" spans="1:12" ht="18" customHeight="1">
      <c r="A45" s="6"/>
      <c r="B45" s="2"/>
      <c r="C45" s="14">
        <f t="shared" si="1"/>
        <v>22</v>
      </c>
      <c r="D45" s="15">
        <v>44563</v>
      </c>
      <c r="E45" s="35" t="s">
        <v>53</v>
      </c>
      <c r="F45" s="35" t="s">
        <v>66</v>
      </c>
      <c r="G45" s="35" t="s">
        <v>58</v>
      </c>
      <c r="H45" s="35" t="s">
        <v>32</v>
      </c>
      <c r="I45" s="36">
        <v>1400</v>
      </c>
      <c r="J45" s="37">
        <v>10</v>
      </c>
      <c r="K45" s="41">
        <f>listeVentes[[#This Row],[Prix de vente]]*listeVentes[[#This Row],[Quantité]]</f>
        <v>14000</v>
      </c>
      <c r="L45" s="2"/>
    </row>
    <row r="46" spans="1:12" ht="18" customHeight="1">
      <c r="A46" s="6"/>
      <c r="B46" s="2"/>
      <c r="C46" s="14">
        <f t="shared" si="1"/>
        <v>21</v>
      </c>
      <c r="D46" s="15">
        <v>44687</v>
      </c>
      <c r="E46" s="35" t="s">
        <v>52</v>
      </c>
      <c r="F46" s="35" t="s">
        <v>51</v>
      </c>
      <c r="G46" s="35" t="s">
        <v>58</v>
      </c>
      <c r="H46" s="35" t="s">
        <v>32</v>
      </c>
      <c r="I46" s="36">
        <v>720</v>
      </c>
      <c r="J46" s="37">
        <v>23</v>
      </c>
      <c r="K46" s="41">
        <f>listeVentes[[#This Row],[Prix de vente]]*listeVentes[[#This Row],[Quantité]]</f>
        <v>16560</v>
      </c>
      <c r="L46" s="2"/>
    </row>
    <row r="47" spans="1:12" ht="18" customHeight="1">
      <c r="A47" s="6"/>
      <c r="B47" s="2"/>
      <c r="C47" s="14">
        <f t="shared" si="1"/>
        <v>20</v>
      </c>
      <c r="D47" s="15">
        <v>44660</v>
      </c>
      <c r="E47" s="35" t="s">
        <v>52</v>
      </c>
      <c r="F47" s="35" t="s">
        <v>51</v>
      </c>
      <c r="G47" s="35" t="s">
        <v>58</v>
      </c>
      <c r="H47" s="35" t="s">
        <v>32</v>
      </c>
      <c r="I47" s="36">
        <v>680</v>
      </c>
      <c r="J47" s="37">
        <v>2</v>
      </c>
      <c r="K47" s="41">
        <f>listeVentes[[#This Row],[Prix de vente]]*listeVentes[[#This Row],[Quantité]]</f>
        <v>1360</v>
      </c>
      <c r="L47" s="2"/>
    </row>
    <row r="48" spans="1:12" ht="18" customHeight="1">
      <c r="A48" s="6"/>
      <c r="B48" s="2"/>
      <c r="C48" s="14">
        <f t="shared" si="1"/>
        <v>19</v>
      </c>
      <c r="D48" s="15">
        <v>44626</v>
      </c>
      <c r="E48" s="35" t="s">
        <v>52</v>
      </c>
      <c r="F48" s="35" t="s">
        <v>51</v>
      </c>
      <c r="G48" s="35" t="s">
        <v>58</v>
      </c>
      <c r="H48" s="35" t="s">
        <v>32</v>
      </c>
      <c r="I48" s="36">
        <v>700</v>
      </c>
      <c r="J48" s="37">
        <v>20</v>
      </c>
      <c r="K48" s="41">
        <f>listeVentes[[#This Row],[Prix de vente]]*listeVentes[[#This Row],[Quantité]]</f>
        <v>14000</v>
      </c>
      <c r="L48" s="2"/>
    </row>
    <row r="49" spans="1:12" ht="18" customHeight="1">
      <c r="A49" s="6"/>
      <c r="B49" s="2"/>
      <c r="C49" s="14">
        <f t="shared" si="1"/>
        <v>18</v>
      </c>
      <c r="D49" s="15">
        <v>44614</v>
      </c>
      <c r="E49" s="35" t="s">
        <v>52</v>
      </c>
      <c r="F49" s="35" t="s">
        <v>51</v>
      </c>
      <c r="G49" s="35" t="s">
        <v>58</v>
      </c>
      <c r="H49" s="35" t="s">
        <v>32</v>
      </c>
      <c r="I49" s="36">
        <v>670</v>
      </c>
      <c r="J49" s="37">
        <v>5</v>
      </c>
      <c r="K49" s="41">
        <f>listeVentes[[#This Row],[Prix de vente]]*listeVentes[[#This Row],[Quantité]]</f>
        <v>3350</v>
      </c>
      <c r="L49" s="2"/>
    </row>
    <row r="50" spans="1:12" ht="18" customHeight="1">
      <c r="A50" s="6"/>
      <c r="B50" s="2"/>
      <c r="C50" s="14">
        <f t="shared" si="1"/>
        <v>17</v>
      </c>
      <c r="D50" s="15">
        <v>44587</v>
      </c>
      <c r="E50" s="35" t="s">
        <v>52</v>
      </c>
      <c r="F50" s="35" t="s">
        <v>51</v>
      </c>
      <c r="G50" s="35" t="s">
        <v>58</v>
      </c>
      <c r="H50" s="35" t="s">
        <v>32</v>
      </c>
      <c r="I50" s="36">
        <v>680</v>
      </c>
      <c r="J50" s="37">
        <v>8</v>
      </c>
      <c r="K50" s="41">
        <f>listeVentes[[#This Row],[Prix de vente]]*listeVentes[[#This Row],[Quantité]]</f>
        <v>5440</v>
      </c>
      <c r="L50" s="2"/>
    </row>
    <row r="51" spans="1:12" ht="18" customHeight="1">
      <c r="A51" s="6"/>
      <c r="B51" s="2"/>
      <c r="C51" s="14">
        <f t="shared" si="1"/>
        <v>16</v>
      </c>
      <c r="D51" s="15">
        <v>44673</v>
      </c>
      <c r="E51" s="35" t="s">
        <v>56</v>
      </c>
      <c r="F51" s="35" t="s">
        <v>18</v>
      </c>
      <c r="G51" s="35" t="s">
        <v>19</v>
      </c>
      <c r="H51" s="35" t="s">
        <v>22</v>
      </c>
      <c r="I51" s="36">
        <v>4.5999999999999996</v>
      </c>
      <c r="J51" s="37">
        <v>60</v>
      </c>
      <c r="K51" s="41">
        <f>listeVentes[[#This Row],[Prix de vente]]*listeVentes[[#This Row],[Quantité]]</f>
        <v>276</v>
      </c>
      <c r="L51" s="2"/>
    </row>
    <row r="52" spans="1:12" ht="18" customHeight="1">
      <c r="A52" s="6"/>
      <c r="B52" s="2"/>
      <c r="C52" s="14">
        <f t="shared" si="1"/>
        <v>15</v>
      </c>
      <c r="D52" s="15">
        <v>44652</v>
      </c>
      <c r="E52" s="35" t="s">
        <v>56</v>
      </c>
      <c r="F52" s="35" t="s">
        <v>18</v>
      </c>
      <c r="G52" s="35" t="s">
        <v>19</v>
      </c>
      <c r="H52" s="35" t="s">
        <v>22</v>
      </c>
      <c r="I52" s="36">
        <v>5</v>
      </c>
      <c r="J52" s="37">
        <v>60</v>
      </c>
      <c r="K52" s="41">
        <f>listeVentes[[#This Row],[Prix de vente]]*listeVentes[[#This Row],[Quantité]]</f>
        <v>300</v>
      </c>
      <c r="L52" s="2"/>
    </row>
    <row r="53" spans="1:12" ht="18" customHeight="1">
      <c r="A53" s="6"/>
      <c r="B53" s="2"/>
      <c r="C53" s="14">
        <f t="shared" si="1"/>
        <v>14</v>
      </c>
      <c r="D53" s="15">
        <v>44629</v>
      </c>
      <c r="E53" s="35" t="s">
        <v>56</v>
      </c>
      <c r="F53" s="35" t="s">
        <v>18</v>
      </c>
      <c r="G53" s="35" t="s">
        <v>19</v>
      </c>
      <c r="H53" s="35" t="s">
        <v>22</v>
      </c>
      <c r="I53" s="36">
        <v>5</v>
      </c>
      <c r="J53" s="37">
        <v>60</v>
      </c>
      <c r="K53" s="41">
        <f>listeVentes[[#This Row],[Prix de vente]]*listeVentes[[#This Row],[Quantité]]</f>
        <v>300</v>
      </c>
      <c r="L53" s="2"/>
    </row>
    <row r="54" spans="1:12" ht="18" customHeight="1">
      <c r="A54" s="6"/>
      <c r="B54" s="2"/>
      <c r="C54" s="14">
        <f t="shared" si="1"/>
        <v>13</v>
      </c>
      <c r="D54" s="15">
        <v>44598</v>
      </c>
      <c r="E54" s="35" t="s">
        <v>56</v>
      </c>
      <c r="F54" s="35" t="s">
        <v>18</v>
      </c>
      <c r="G54" s="35" t="s">
        <v>19</v>
      </c>
      <c r="H54" s="35" t="s">
        <v>22</v>
      </c>
      <c r="I54" s="36">
        <v>5</v>
      </c>
      <c r="J54" s="37">
        <v>12</v>
      </c>
      <c r="K54" s="41">
        <f>listeVentes[[#This Row],[Prix de vente]]*listeVentes[[#This Row],[Quantité]]</f>
        <v>60</v>
      </c>
      <c r="L54" s="2"/>
    </row>
    <row r="55" spans="1:12" ht="18" customHeight="1">
      <c r="A55" s="6"/>
      <c r="B55" s="2"/>
      <c r="C55" s="14">
        <f t="shared" si="1"/>
        <v>12</v>
      </c>
      <c r="D55" s="15">
        <v>44689</v>
      </c>
      <c r="E55" s="35" t="s">
        <v>55</v>
      </c>
      <c r="F55" s="35" t="s">
        <v>18</v>
      </c>
      <c r="G55" s="35" t="s">
        <v>19</v>
      </c>
      <c r="H55" s="35" t="s">
        <v>21</v>
      </c>
      <c r="I55" s="36">
        <v>3</v>
      </c>
      <c r="J55" s="37">
        <v>10</v>
      </c>
      <c r="K55" s="41">
        <f>listeVentes[[#This Row],[Prix de vente]]*listeVentes[[#This Row],[Quantité]]</f>
        <v>30</v>
      </c>
      <c r="L55" s="2"/>
    </row>
    <row r="56" spans="1:12" ht="18" customHeight="1">
      <c r="A56" s="6"/>
      <c r="B56" s="2"/>
      <c r="C56" s="14">
        <f t="shared" si="1"/>
        <v>11</v>
      </c>
      <c r="D56" s="15">
        <v>44656</v>
      </c>
      <c r="E56" s="35" t="s">
        <v>55</v>
      </c>
      <c r="F56" s="35" t="s">
        <v>18</v>
      </c>
      <c r="G56" s="35" t="s">
        <v>19</v>
      </c>
      <c r="H56" s="35" t="s">
        <v>21</v>
      </c>
      <c r="I56" s="36">
        <v>2.7</v>
      </c>
      <c r="J56" s="37">
        <v>15</v>
      </c>
      <c r="K56" s="41">
        <f>listeVentes[[#This Row],[Prix de vente]]*listeVentes[[#This Row],[Quantité]]</f>
        <v>40.5</v>
      </c>
      <c r="L56" s="2"/>
    </row>
    <row r="57" spans="1:12" ht="18" customHeight="1">
      <c r="A57" s="6"/>
      <c r="B57" s="2"/>
      <c r="C57" s="14">
        <f t="shared" si="1"/>
        <v>10</v>
      </c>
      <c r="D57" s="15">
        <v>44623</v>
      </c>
      <c r="E57" s="35" t="s">
        <v>55</v>
      </c>
      <c r="F57" s="35" t="s">
        <v>18</v>
      </c>
      <c r="G57" s="35" t="s">
        <v>19</v>
      </c>
      <c r="H57" s="35" t="s">
        <v>21</v>
      </c>
      <c r="I57" s="36">
        <v>2.6</v>
      </c>
      <c r="J57" s="37">
        <v>15</v>
      </c>
      <c r="K57" s="41">
        <f>listeVentes[[#This Row],[Prix de vente]]*listeVentes[[#This Row],[Quantité]]</f>
        <v>39</v>
      </c>
      <c r="L57" s="2"/>
    </row>
    <row r="58" spans="1:12" ht="18" customHeight="1">
      <c r="A58" s="6"/>
      <c r="B58" s="2"/>
      <c r="C58" s="14">
        <f t="shared" si="1"/>
        <v>9</v>
      </c>
      <c r="D58" s="15">
        <v>44595</v>
      </c>
      <c r="E58" s="35" t="s">
        <v>55</v>
      </c>
      <c r="F58" s="35" t="s">
        <v>18</v>
      </c>
      <c r="G58" s="35" t="s">
        <v>19</v>
      </c>
      <c r="H58" s="35" t="s">
        <v>21</v>
      </c>
      <c r="I58" s="36">
        <v>2.5</v>
      </c>
      <c r="J58" s="37">
        <v>2</v>
      </c>
      <c r="K58" s="41">
        <f>listeVentes[[#This Row],[Prix de vente]]*listeVentes[[#This Row],[Quantité]]</f>
        <v>5</v>
      </c>
      <c r="L58" s="2"/>
    </row>
    <row r="59" spans="1:12" ht="18" customHeight="1">
      <c r="A59" s="6"/>
      <c r="B59" s="2"/>
      <c r="C59" s="14">
        <f t="shared" si="1"/>
        <v>8</v>
      </c>
      <c r="D59" s="15">
        <v>44703</v>
      </c>
      <c r="E59" s="35" t="s">
        <v>54</v>
      </c>
      <c r="F59" s="35" t="s">
        <v>18</v>
      </c>
      <c r="G59" s="35" t="s">
        <v>19</v>
      </c>
      <c r="H59" s="35" t="s">
        <v>20</v>
      </c>
      <c r="I59" s="36">
        <v>0.3</v>
      </c>
      <c r="J59" s="37">
        <v>4</v>
      </c>
      <c r="K59" s="41">
        <f>listeVentes[[#This Row],[Prix de vente]]*listeVentes[[#This Row],[Quantité]]</f>
        <v>1.2</v>
      </c>
      <c r="L59" s="2"/>
    </row>
    <row r="60" spans="1:12" ht="18" customHeight="1">
      <c r="A60" s="6"/>
      <c r="B60" s="2"/>
      <c r="C60" s="14">
        <f t="shared" si="1"/>
        <v>7</v>
      </c>
      <c r="D60" s="15">
        <v>44655</v>
      </c>
      <c r="E60" s="35" t="s">
        <v>54</v>
      </c>
      <c r="F60" s="35" t="s">
        <v>18</v>
      </c>
      <c r="G60" s="35" t="s">
        <v>19</v>
      </c>
      <c r="H60" s="35" t="s">
        <v>20</v>
      </c>
      <c r="I60" s="36">
        <v>0.3</v>
      </c>
      <c r="J60" s="37">
        <v>15</v>
      </c>
      <c r="K60" s="41">
        <f>listeVentes[[#This Row],[Prix de vente]]*listeVentes[[#This Row],[Quantité]]</f>
        <v>4.5</v>
      </c>
      <c r="L60" s="2"/>
    </row>
    <row r="61" spans="1:12" ht="18" customHeight="1">
      <c r="A61" s="6"/>
      <c r="B61" s="2"/>
      <c r="C61" s="14">
        <f t="shared" si="1"/>
        <v>6</v>
      </c>
      <c r="D61" s="15">
        <v>44626</v>
      </c>
      <c r="E61" s="35" t="s">
        <v>54</v>
      </c>
      <c r="F61" s="35" t="s">
        <v>18</v>
      </c>
      <c r="G61" s="35" t="s">
        <v>19</v>
      </c>
      <c r="H61" s="35" t="s">
        <v>20</v>
      </c>
      <c r="I61" s="36">
        <v>0.3</v>
      </c>
      <c r="J61" s="37">
        <v>20</v>
      </c>
      <c r="K61" s="41">
        <f>listeVentes[[#This Row],[Prix de vente]]*listeVentes[[#This Row],[Quantité]]</f>
        <v>6</v>
      </c>
      <c r="L61" s="2"/>
    </row>
    <row r="62" spans="1:12" ht="18" customHeight="1">
      <c r="A62" s="6"/>
      <c r="B62" s="2"/>
      <c r="C62" s="14">
        <f t="shared" si="1"/>
        <v>5</v>
      </c>
      <c r="D62" s="15">
        <v>44597</v>
      </c>
      <c r="E62" s="35" t="s">
        <v>54</v>
      </c>
      <c r="F62" s="35" t="s">
        <v>18</v>
      </c>
      <c r="G62" s="35" t="s">
        <v>19</v>
      </c>
      <c r="H62" s="35" t="s">
        <v>20</v>
      </c>
      <c r="I62" s="36">
        <v>0.3</v>
      </c>
      <c r="J62" s="37">
        <v>15</v>
      </c>
      <c r="K62" s="41">
        <f>listeVentes[[#This Row],[Prix de vente]]*listeVentes[[#This Row],[Quantité]]</f>
        <v>4.5</v>
      </c>
      <c r="L62" s="2"/>
    </row>
    <row r="63" spans="1:12" ht="18" customHeight="1">
      <c r="A63" s="6"/>
      <c r="B63" s="2"/>
      <c r="C63" s="14">
        <v>4</v>
      </c>
      <c r="D63" s="15">
        <v>44584</v>
      </c>
      <c r="E63" s="35" t="s">
        <v>55</v>
      </c>
      <c r="F63" s="12" t="s">
        <v>18</v>
      </c>
      <c r="G63" s="12" t="s">
        <v>19</v>
      </c>
      <c r="H63" s="12" t="s">
        <v>21</v>
      </c>
      <c r="I63" s="36">
        <v>3</v>
      </c>
      <c r="J63" s="37">
        <v>6</v>
      </c>
      <c r="K63" s="13">
        <f>listeVentes[[#This Row],[Prix de vente]]*listeVentes[[#This Row],[Quantité]]</f>
        <v>18</v>
      </c>
      <c r="L63" s="2"/>
    </row>
    <row r="64" spans="1:12" ht="18" customHeight="1">
      <c r="A64" s="6"/>
      <c r="B64" s="2"/>
      <c r="C64" s="14">
        <v>3</v>
      </c>
      <c r="D64" s="15">
        <v>44582</v>
      </c>
      <c r="E64" s="12" t="s">
        <v>54</v>
      </c>
      <c r="F64" s="12" t="s">
        <v>18</v>
      </c>
      <c r="G64" s="12" t="s">
        <v>19</v>
      </c>
      <c r="H64" s="12" t="s">
        <v>20</v>
      </c>
      <c r="I64" s="13">
        <v>0.3</v>
      </c>
      <c r="J64" s="12">
        <v>5</v>
      </c>
      <c r="K64" s="13">
        <f>listeVentes[[#This Row],[Prix de vente]]*listeVentes[[#This Row],[Quantité]]</f>
        <v>1.5</v>
      </c>
      <c r="L64" s="2"/>
    </row>
    <row r="65" spans="1:12" ht="18" customHeight="1">
      <c r="A65" s="6"/>
      <c r="B65" s="2"/>
      <c r="C65" s="14">
        <v>2</v>
      </c>
      <c r="D65" s="15">
        <v>44578</v>
      </c>
      <c r="E65" s="12" t="s">
        <v>55</v>
      </c>
      <c r="F65" s="12" t="s">
        <v>18</v>
      </c>
      <c r="G65" s="12" t="s">
        <v>19</v>
      </c>
      <c r="H65" s="12" t="s">
        <v>21</v>
      </c>
      <c r="I65" s="13">
        <v>2.2000000000000002</v>
      </c>
      <c r="J65" s="12">
        <v>6</v>
      </c>
      <c r="K65" s="13">
        <f>listeVentes[[#This Row],[Prix de vente]]*listeVentes[[#This Row],[Quantité]]</f>
        <v>13.200000000000001</v>
      </c>
      <c r="L65" s="2"/>
    </row>
    <row r="66" spans="1:12" ht="18" customHeight="1">
      <c r="B66" s="2"/>
      <c r="C66" s="14">
        <v>1</v>
      </c>
      <c r="D66" s="15">
        <v>44571</v>
      </c>
      <c r="E66" s="12" t="s">
        <v>56</v>
      </c>
      <c r="F66" s="12" t="s">
        <v>18</v>
      </c>
      <c r="G66" s="12" t="s">
        <v>19</v>
      </c>
      <c r="H66" s="12" t="s">
        <v>22</v>
      </c>
      <c r="I66" s="13">
        <v>4.2</v>
      </c>
      <c r="J66" s="12">
        <v>3</v>
      </c>
      <c r="K66" s="13">
        <f>listeVentes[[#This Row],[Prix de vente]]*listeVentes[[#This Row],[Quantité]]</f>
        <v>12.600000000000001</v>
      </c>
      <c r="L66" s="2"/>
    </row>
    <row r="67" spans="1:12" ht="18" customHeight="1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</row>
    <row r="68" spans="1:12" ht="18" customHeight="1"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</row>
    <row r="69" spans="1:12" ht="18" customHeight="1"/>
    <row r="70" spans="1:12" ht="19.899999999999999" customHeight="1"/>
  </sheetData>
  <mergeCells count="2">
    <mergeCell ref="C3:K3"/>
    <mergeCell ref="C4:J4"/>
  </mergeCells>
  <dataValidations count="1">
    <dataValidation type="date" operator="greaterThan" allowBlank="1" showInputMessage="1" showErrorMessage="1" error="Veuillez saisir une date correcte" sqref="D7:D63" xr:uid="{F2FDCC16-73A3-4195-9F6E-0D4642AA913B}">
      <formula1>44561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A2B48-77C5-4F10-95A2-5FF5376E5E3D}">
  <sheetPr codeName="Feuil11"/>
  <dimension ref="A1:S20"/>
  <sheetViews>
    <sheetView zoomScale="115" zoomScaleNormal="115" workbookViewId="0">
      <selection activeCell="C6" sqref="C6"/>
    </sheetView>
  </sheetViews>
  <sheetFormatPr baseColWidth="10" defaultColWidth="8.85546875" defaultRowHeight="15"/>
  <cols>
    <col min="1" max="2" width="3.7109375" style="1" customWidth="1"/>
    <col min="3" max="3" width="11.42578125" style="1" customWidth="1"/>
    <col min="4" max="4" width="25.42578125" style="1" customWidth="1"/>
    <col min="5" max="5" width="14.42578125" style="1" customWidth="1"/>
    <col min="6" max="6" width="16.28515625" style="1" customWidth="1"/>
    <col min="7" max="7" width="13.5703125" style="1" customWidth="1"/>
    <col min="8" max="8" width="12.85546875" style="1" customWidth="1"/>
    <col min="9" max="9" width="9.42578125" style="1" customWidth="1"/>
    <col min="10" max="10" width="8.7109375" style="1" customWidth="1"/>
    <col min="11" max="11" width="12" style="1" customWidth="1"/>
    <col min="12" max="12" width="12.5703125" style="1" customWidth="1"/>
    <col min="13" max="13" width="13.140625" style="1" customWidth="1"/>
    <col min="14" max="14" width="13.28515625" style="1" customWidth="1"/>
    <col min="15" max="15" width="3.7109375" style="1" customWidth="1"/>
    <col min="16" max="27" width="12.7109375" style="1" customWidth="1"/>
    <col min="28" max="16384" width="8.85546875" style="1"/>
  </cols>
  <sheetData>
    <row r="1" spans="1:19" ht="18.600000000000001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</row>
    <row r="2" spans="1:19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</row>
    <row r="3" spans="1:19" ht="21.6" customHeight="1">
      <c r="A3" s="5"/>
      <c r="B3" s="2"/>
      <c r="C3" s="57" t="s">
        <v>34</v>
      </c>
      <c r="D3" s="57"/>
      <c r="E3" s="22"/>
      <c r="F3" s="22"/>
      <c r="G3" s="22"/>
      <c r="H3" s="55"/>
      <c r="I3" s="55"/>
      <c r="J3" s="22"/>
      <c r="K3" s="22"/>
      <c r="L3" s="22"/>
      <c r="M3" s="22"/>
      <c r="N3" s="22"/>
      <c r="O3" s="3"/>
      <c r="P3" s="5"/>
      <c r="Q3" s="5"/>
      <c r="R3" s="5"/>
      <c r="S3" s="5"/>
    </row>
    <row r="4" spans="1:19" ht="15" customHeight="1">
      <c r="B4" s="2"/>
      <c r="C4" s="57"/>
      <c r="D4" s="57"/>
      <c r="E4" s="23"/>
      <c r="F4" s="23"/>
      <c r="G4" s="23"/>
      <c r="H4" s="56"/>
      <c r="I4" s="56"/>
      <c r="J4" s="56"/>
      <c r="K4" s="22"/>
      <c r="L4" s="22"/>
      <c r="M4" s="22"/>
      <c r="N4" s="22"/>
      <c r="O4" s="3"/>
    </row>
    <row r="5" spans="1:19" ht="18" customHeight="1">
      <c r="A5" s="6"/>
      <c r="B5" s="2"/>
      <c r="C5" s="16" t="s">
        <v>14</v>
      </c>
      <c r="D5" s="17" t="s">
        <v>0</v>
      </c>
      <c r="E5" s="17" t="s">
        <v>15</v>
      </c>
      <c r="F5" s="17" t="s">
        <v>8</v>
      </c>
      <c r="G5" s="17" t="s">
        <v>3</v>
      </c>
      <c r="H5" s="17" t="s">
        <v>10</v>
      </c>
      <c r="I5" s="17" t="s">
        <v>12</v>
      </c>
      <c r="J5" s="17" t="s">
        <v>13</v>
      </c>
      <c r="K5" s="17" t="s">
        <v>11</v>
      </c>
      <c r="L5" s="17" t="s">
        <v>37</v>
      </c>
      <c r="M5" s="17" t="s">
        <v>4</v>
      </c>
      <c r="N5" s="18" t="s">
        <v>16</v>
      </c>
      <c r="O5" s="2"/>
    </row>
    <row r="6" spans="1:19" ht="18" customHeight="1">
      <c r="A6" s="6"/>
      <c r="B6" s="2"/>
      <c r="C6" s="24" t="s">
        <v>52</v>
      </c>
      <c r="D6" s="19" t="str">
        <f>IFERROR(VLOOKUP(listeInventaire[[#This Row],[Référence]],listeProduits[],2,FALSE),"")</f>
        <v>GOOGLE PIXEL 5</v>
      </c>
      <c r="E6" s="19" t="str">
        <f>IFERROR(VLOOKUP(listeInventaire[[#This Row],[Référence]],listeProduits[],3,FALSE),"")</f>
        <v>SmartPhone</v>
      </c>
      <c r="F6" s="19" t="str">
        <f>IFERROR(VLOOKUP(listeInventaire[[#This Row],[Référence]],listeProduits[],4,FALSE),"")</f>
        <v>1 unité</v>
      </c>
      <c r="G6" s="21">
        <f>IFERROR(VLOOKUP(listeInventaire[[#This Row],[Référence]],listeProduits[],5,FALSE),"")</f>
        <v>10</v>
      </c>
      <c r="H6" s="21">
        <f>IFERROR(VLOOKUP(listeInventaire[[#This Row],[Référence]],listeProduits[],6,FALSE),"")</f>
        <v>20</v>
      </c>
      <c r="I6" s="21">
        <f>SUMIF(listeAchats[Référence],listeInventaire[[#This Row],[Référence]],listeAchats[Quantité])</f>
        <v>55</v>
      </c>
      <c r="J6" s="21">
        <f>SUMIF(listeVentes[Référence],listeInventaire[[#This Row],[Référence]],listeVentes[Quantité])</f>
        <v>60</v>
      </c>
      <c r="K6" s="21">
        <f>IFERROR(listeInventaire[[#This Row],[Stock initial]]+listeInventaire[[#This Row],[Entrées]]-listeInventaire[[#This Row],[Sorties]],"")</f>
        <v>15</v>
      </c>
      <c r="L6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599.4666666666667</v>
      </c>
      <c r="M6" s="20">
        <f>IFERROR(listeInventaire[[#This Row],[Stock final]]*listeInventaire[[#This Row],[CUMP]],"")</f>
        <v>8992</v>
      </c>
      <c r="N6" s="19" t="str">
        <f>IF(listeInventaire[[#This Row],[Stock final]]&gt;listeInventaire[[#This Row],[Seuil d''alerte]],"Stock normal",IF(listeInventaire[[#This Row],[Stock final]]=0,"Non disponible","Stock faible"))</f>
        <v>Stock normal</v>
      </c>
      <c r="O6" s="2"/>
    </row>
    <row r="7" spans="1:19" ht="18" customHeight="1">
      <c r="A7" s="6"/>
      <c r="B7" s="2"/>
      <c r="C7" s="24" t="s">
        <v>53</v>
      </c>
      <c r="D7" s="19" t="str">
        <f>IFERROR(VLOOKUP(listeInventaire[[#This Row],[Référence]],listeProduits[],2,FALSE),"")</f>
        <v>IPHONE 13 PRO</v>
      </c>
      <c r="E7" s="19" t="str">
        <f>IFERROR(VLOOKUP(listeInventaire[[#This Row],[Référence]],listeProduits[],3,FALSE),"")</f>
        <v>SmartPhone</v>
      </c>
      <c r="F7" s="19" t="str">
        <f>IFERROR(VLOOKUP(listeInventaire[[#This Row],[Référence]],listeProduits[],4,FALSE),"")</f>
        <v>1 unité</v>
      </c>
      <c r="G7" s="21">
        <f>IFERROR(VLOOKUP(listeInventaire[[#This Row],[Référence]],listeProduits[],5,FALSE),"")</f>
        <v>10</v>
      </c>
      <c r="H7" s="21">
        <f>IFERROR(VLOOKUP(listeInventaire[[#This Row],[Référence]],listeProduits[],6,FALSE),"")</f>
        <v>3</v>
      </c>
      <c r="I7" s="21">
        <f>SUMIF(listeAchats[Référence],listeInventaire[[#This Row],[Référence]],listeAchats[Quantité])</f>
        <v>96</v>
      </c>
      <c r="J7" s="21">
        <f>SUMIF(listeVentes[Référence],listeInventaire[[#This Row],[Référence]],listeVentes[Quantité])</f>
        <v>87</v>
      </c>
      <c r="K7" s="21">
        <f>IFERROR(listeInventaire[[#This Row],[Stock initial]]+listeInventaire[[#This Row],[Entrées]]-listeInventaire[[#This Row],[Sorties]],"")</f>
        <v>12</v>
      </c>
      <c r="L7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1400</v>
      </c>
      <c r="M7" s="20">
        <f>IFERROR(listeInventaire[[#This Row],[Stock final]]*listeInventaire[[#This Row],[CUMP]],"")</f>
        <v>16800</v>
      </c>
      <c r="N7" s="19" t="str">
        <f>IF(listeInventaire[[#This Row],[Stock final]]&gt;listeInventaire[[#This Row],[Seuil d''alerte]],"Stock normal",IF(listeInventaire[[#This Row],[Stock final]]=0,"Non disponible","Stock faible"))</f>
        <v>Stock normal</v>
      </c>
      <c r="O7" s="2"/>
    </row>
    <row r="8" spans="1:19" ht="18" customHeight="1">
      <c r="B8" s="2"/>
      <c r="C8" s="24" t="s">
        <v>54</v>
      </c>
      <c r="D8" s="19" t="str">
        <f>IFERROR(VLOOKUP(listeInventaire[[#This Row],[Référence]],listeProduits[],2,FALSE),"")</f>
        <v>Oreo</v>
      </c>
      <c r="E8" s="19" t="str">
        <f>IFERROR(VLOOKUP(listeInventaire[[#This Row],[Référence]],listeProduits[],3,FALSE),"")</f>
        <v xml:space="preserve">Biscuits </v>
      </c>
      <c r="F8" s="19" t="str">
        <f>IFERROR(VLOOKUP(listeInventaire[[#This Row],[Référence]],listeProduits[],4,FALSE),"")</f>
        <v xml:space="preserve">1 unité </v>
      </c>
      <c r="G8" s="21">
        <f>IFERROR(VLOOKUP(listeInventaire[[#This Row],[Référence]],listeProduits[],5,FALSE),"")</f>
        <v>10</v>
      </c>
      <c r="H8" s="21">
        <f>IFERROR(VLOOKUP(listeInventaire[[#This Row],[Référence]],listeProduits[],6,FALSE),"")</f>
        <v>10</v>
      </c>
      <c r="I8" s="21">
        <f>SUMIF(listeAchats[Référence],listeInventaire[[#This Row],[Référence]],listeAchats[Quantité])</f>
        <v>95</v>
      </c>
      <c r="J8" s="21">
        <f>SUMIF(listeVentes[Référence],listeInventaire[[#This Row],[Référence]],listeVentes[Quantité])</f>
        <v>79</v>
      </c>
      <c r="K8" s="21">
        <f>IFERROR(listeInventaire[[#This Row],[Stock initial]]+listeInventaire[[#This Row],[Entrées]]-listeInventaire[[#This Row],[Sorties]],"")</f>
        <v>26</v>
      </c>
      <c r="L8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0.20904761904761907</v>
      </c>
      <c r="M8" s="20">
        <f>IFERROR(listeInventaire[[#This Row],[Stock final]]*listeInventaire[[#This Row],[CUMP]],"")</f>
        <v>5.4352380952380956</v>
      </c>
      <c r="N8" s="19" t="str">
        <f>IF(listeInventaire[[#This Row],[Stock final]]&gt;listeInventaire[[#This Row],[Seuil d''alerte]],"Stock normal",IF(listeInventaire[[#This Row],[Stock final]]=0,"Non disponible","Stock faible"))</f>
        <v>Stock normal</v>
      </c>
      <c r="O8" s="2"/>
    </row>
    <row r="9" spans="1:19" ht="18" customHeight="1">
      <c r="B9" s="2"/>
      <c r="C9" s="24" t="s">
        <v>55</v>
      </c>
      <c r="D9" s="19" t="str">
        <f>IFERROR(VLOOKUP(listeInventaire[[#This Row],[Référence]],listeProduits[],2,FALSE),"")</f>
        <v>Oreo</v>
      </c>
      <c r="E9" s="19" t="str">
        <f>IFERROR(VLOOKUP(listeInventaire[[#This Row],[Référence]],listeProduits[],3,FALSE),"")</f>
        <v xml:space="preserve">Biscuits </v>
      </c>
      <c r="F9" s="19" t="str">
        <f>IFERROR(VLOOKUP(listeInventaire[[#This Row],[Référence]],listeProduits[],4,FALSE),"")</f>
        <v>Pack de 10 unités</v>
      </c>
      <c r="G9" s="21">
        <f>IFERROR(VLOOKUP(listeInventaire[[#This Row],[Référence]],listeProduits[],5,FALSE),"")</f>
        <v>50</v>
      </c>
      <c r="H9" s="21">
        <f>IFERROR(VLOOKUP(listeInventaire[[#This Row],[Référence]],listeProduits[],6,FALSE),"")</f>
        <v>15</v>
      </c>
      <c r="I9" s="21">
        <f>SUMIF(listeAchats[Référence],listeInventaire[[#This Row],[Référence]],listeAchats[Quantité])</f>
        <v>147</v>
      </c>
      <c r="J9" s="21">
        <f>SUMIF(listeVentes[Référence],listeInventaire[[#This Row],[Référence]],listeVentes[Quantité])</f>
        <v>64</v>
      </c>
      <c r="K9" s="21">
        <f>IFERROR(listeInventaire[[#This Row],[Stock initial]]+listeInventaire[[#This Row],[Entrées]]-listeInventaire[[#This Row],[Sorties]],"")</f>
        <v>98</v>
      </c>
      <c r="L9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2</v>
      </c>
      <c r="M9" s="20">
        <f>IFERROR(listeInventaire[[#This Row],[Stock final]]*listeInventaire[[#This Row],[CUMP]],"")</f>
        <v>196</v>
      </c>
      <c r="N9" s="19" t="str">
        <f>IF(listeInventaire[[#This Row],[Stock final]]&gt;listeInventaire[[#This Row],[Seuil d''alerte]],"Stock normal",IF(listeInventaire[[#This Row],[Stock final]]=0,"Non disponible","Stock faible"))</f>
        <v>Stock normal</v>
      </c>
      <c r="O9" s="2"/>
    </row>
    <row r="10" spans="1:19" ht="18" customHeight="1">
      <c r="B10" s="2"/>
      <c r="C10" s="24" t="s">
        <v>56</v>
      </c>
      <c r="D10" s="19" t="str">
        <f>IFERROR(VLOOKUP(listeInventaire[[#This Row],[Référence]],listeProduits[],2,FALSE),"")</f>
        <v>Oreo</v>
      </c>
      <c r="E10" s="19" t="str">
        <f>IFERROR(VLOOKUP(listeInventaire[[#This Row],[Référence]],listeProduits[],3,FALSE),"")</f>
        <v xml:space="preserve">Biscuits </v>
      </c>
      <c r="F10" s="19" t="str">
        <f>IFERROR(VLOOKUP(listeInventaire[[#This Row],[Référence]],listeProduits[],4,FALSE),"")</f>
        <v>Pack de 20 unités</v>
      </c>
      <c r="G10" s="21">
        <f>IFERROR(VLOOKUP(listeInventaire[[#This Row],[Référence]],listeProduits[],5,FALSE),"")</f>
        <v>20</v>
      </c>
      <c r="H10" s="21">
        <f>IFERROR(VLOOKUP(listeInventaire[[#This Row],[Référence]],listeProduits[],6,FALSE),"")</f>
        <v>5</v>
      </c>
      <c r="I10" s="21">
        <f>SUMIF(listeAchats[Référence],listeInventaire[[#This Row],[Référence]],listeAchats[Quantité])</f>
        <v>320</v>
      </c>
      <c r="J10" s="21">
        <f>SUMIF(listeVentes[Référence],listeInventaire[[#This Row],[Référence]],listeVentes[Quantité])</f>
        <v>195</v>
      </c>
      <c r="K10" s="21">
        <f>IFERROR(listeInventaire[[#This Row],[Stock initial]]+listeInventaire[[#This Row],[Entrées]]-listeInventaire[[#This Row],[Sorties]],"")</f>
        <v>130</v>
      </c>
      <c r="L10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4</v>
      </c>
      <c r="M10" s="20">
        <f>IFERROR(listeInventaire[[#This Row],[Stock final]]*listeInventaire[[#This Row],[CUMP]],"")</f>
        <v>520</v>
      </c>
      <c r="N10" s="19" t="str">
        <f>IF(listeInventaire[[#This Row],[Stock final]]&gt;listeInventaire[[#This Row],[Seuil d''alerte]],"Stock normal",IF(listeInventaire[[#This Row],[Stock final]]=0,"Non disponible","Stock faible"))</f>
        <v>Stock normal</v>
      </c>
      <c r="O10" s="2"/>
    </row>
    <row r="11" spans="1:19" ht="18" customHeight="1">
      <c r="B11" s="2"/>
      <c r="C11" s="24" t="s">
        <v>38</v>
      </c>
      <c r="D11" s="19" t="str">
        <f>IFERROR(VLOOKUP(listeInventaire[[#This Row],[Référence]],listeProduits[],2,FALSE),"")</f>
        <v>Réfrigérateur WHIRLPOOL</v>
      </c>
      <c r="E11" s="19" t="str">
        <f>IFERROR(VLOOKUP(listeInventaire[[#This Row],[Référence]],listeProduits[],3,FALSE),"")</f>
        <v>Electro</v>
      </c>
      <c r="F11" s="19" t="str">
        <f>IFERROR(VLOOKUP(listeInventaire[[#This Row],[Référence]],listeProduits[],4,FALSE),"")</f>
        <v>1 unité</v>
      </c>
      <c r="G11" s="21">
        <f>IFERROR(VLOOKUP(listeInventaire[[#This Row],[Référence]],listeProduits[],5,FALSE),"")</f>
        <v>10</v>
      </c>
      <c r="H11" s="21">
        <f>IFERROR(VLOOKUP(listeInventaire[[#This Row],[Référence]],listeProduits[],6,FALSE),"")</f>
        <v>5</v>
      </c>
      <c r="I11" s="21">
        <f>SUMIF(listeAchats[Référence],listeInventaire[[#This Row],[Référence]],listeAchats[Quantité])</f>
        <v>24</v>
      </c>
      <c r="J11" s="21">
        <f>SUMIF(listeVentes[Référence],listeInventaire[[#This Row],[Référence]],listeVentes[Quantité])</f>
        <v>21</v>
      </c>
      <c r="K11" s="21">
        <f>IFERROR(listeInventaire[[#This Row],[Stock initial]]+listeInventaire[[#This Row],[Entrées]]-listeInventaire[[#This Row],[Sorties]],"")</f>
        <v>8</v>
      </c>
      <c r="L11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700</v>
      </c>
      <c r="M11" s="20">
        <f>IFERROR(listeInventaire[[#This Row],[Stock final]]*listeInventaire[[#This Row],[CUMP]],"")</f>
        <v>5600</v>
      </c>
      <c r="N11" s="19" t="str">
        <f>IF(listeInventaire[[#This Row],[Stock final]]&gt;listeInventaire[[#This Row],[Seuil d''alerte]],"Stock normal",IF(listeInventaire[[#This Row],[Stock final]]=0,"Non disponible","Stock faible"))</f>
        <v>Stock faible</v>
      </c>
      <c r="O11" s="2"/>
    </row>
    <row r="12" spans="1:19" ht="18" customHeight="1">
      <c r="B12" s="2"/>
      <c r="C12" s="24" t="s">
        <v>39</v>
      </c>
      <c r="D12" s="19" t="str">
        <f>IFERROR(VLOOKUP(listeInventaire[[#This Row],[Référence]],listeProduits[],2,FALSE),"")</f>
        <v>Réfrigérateur SIERA</v>
      </c>
      <c r="E12" s="19" t="str">
        <f>IFERROR(VLOOKUP(listeInventaire[[#This Row],[Référence]],listeProduits[],3,FALSE),"")</f>
        <v>Electro</v>
      </c>
      <c r="F12" s="19" t="str">
        <f>IFERROR(VLOOKUP(listeInventaire[[#This Row],[Référence]],listeProduits[],4,FALSE),"")</f>
        <v>1 unité</v>
      </c>
      <c r="G12" s="21">
        <f>IFERROR(VLOOKUP(listeInventaire[[#This Row],[Référence]],listeProduits[],5,FALSE),"")</f>
        <v>10</v>
      </c>
      <c r="H12" s="21">
        <f>IFERROR(VLOOKUP(listeInventaire[[#This Row],[Référence]],listeProduits[],6,FALSE),"")</f>
        <v>3</v>
      </c>
      <c r="I12" s="21">
        <f>SUMIF(listeAchats[Référence],listeInventaire[[#This Row],[Référence]],listeAchats[Quantité])</f>
        <v>40</v>
      </c>
      <c r="J12" s="21">
        <f>SUMIF(listeVentes[Référence],listeInventaire[[#This Row],[Référence]],listeVentes[Quantité])</f>
        <v>24</v>
      </c>
      <c r="K12" s="21">
        <f>IFERROR(listeInventaire[[#This Row],[Stock initial]]+listeInventaire[[#This Row],[Entrées]]-listeInventaire[[#This Row],[Sorties]],"")</f>
        <v>19</v>
      </c>
      <c r="L12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300</v>
      </c>
      <c r="M12" s="20">
        <f>IFERROR(listeInventaire[[#This Row],[Stock final]]*listeInventaire[[#This Row],[CUMP]],"")</f>
        <v>5700</v>
      </c>
      <c r="N12" s="19" t="str">
        <f>IF(listeInventaire[[#This Row],[Stock final]]&gt;listeInventaire[[#This Row],[Seuil d''alerte]],"Stock normal",IF(listeInventaire[[#This Row],[Stock final]]=0,"Non disponible","Stock faible"))</f>
        <v>Stock normal</v>
      </c>
      <c r="O12" s="2"/>
    </row>
    <row r="13" spans="1:19" ht="19.899999999999999" customHeight="1">
      <c r="B13" s="2"/>
      <c r="C13" s="24" t="s">
        <v>40</v>
      </c>
      <c r="D13" s="19" t="str">
        <f>IFERROR(VLOOKUP(listeInventaire[[#This Row],[Référence]],listeProduits[],2,FALSE),"")</f>
        <v>Cuisinière SIERA</v>
      </c>
      <c r="E13" s="19" t="str">
        <f>IFERROR(VLOOKUP(listeInventaire[[#This Row],[Référence]],listeProduits[],3,FALSE),"")</f>
        <v>Electro</v>
      </c>
      <c r="F13" s="19" t="str">
        <f>IFERROR(VLOOKUP(listeInventaire[[#This Row],[Référence]],listeProduits[],4,FALSE),"")</f>
        <v>1 unité</v>
      </c>
      <c r="G13" s="21">
        <f>IFERROR(VLOOKUP(listeInventaire[[#This Row],[Référence]],listeProduits[],5,FALSE),"")</f>
        <v>10</v>
      </c>
      <c r="H13" s="21">
        <f>IFERROR(VLOOKUP(listeInventaire[[#This Row],[Référence]],listeProduits[],6,FALSE),"")</f>
        <v>6</v>
      </c>
      <c r="I13" s="21">
        <f>SUMIF(listeAchats[Référence],listeInventaire[[#This Row],[Référence]],listeAchats[Quantité])</f>
        <v>65</v>
      </c>
      <c r="J13" s="21">
        <f>SUMIF(listeVentes[Référence],listeInventaire[[#This Row],[Référence]],listeVentes[Quantité])</f>
        <v>28</v>
      </c>
      <c r="K13" s="21">
        <f>IFERROR(listeInventaire[[#This Row],[Stock initial]]+listeInventaire[[#This Row],[Entrées]]-listeInventaire[[#This Row],[Sorties]],"")</f>
        <v>43</v>
      </c>
      <c r="L13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150</v>
      </c>
      <c r="M13" s="20">
        <f>IFERROR(listeInventaire[[#This Row],[Stock final]]*listeInventaire[[#This Row],[CUMP]],"")</f>
        <v>6450</v>
      </c>
      <c r="N13" s="19" t="str">
        <f>IF(listeInventaire[[#This Row],[Stock final]]&gt;listeInventaire[[#This Row],[Seuil d''alerte]],"Stock normal",IF(listeInventaire[[#This Row],[Stock final]]=0,"Non disponible","Stock faible"))</f>
        <v>Stock normal</v>
      </c>
      <c r="O13" s="2"/>
    </row>
    <row r="14" spans="1:19" ht="19.899999999999999" customHeight="1">
      <c r="B14" s="2"/>
      <c r="C14" s="24" t="s">
        <v>41</v>
      </c>
      <c r="D14" s="19" t="str">
        <f>IFERROR(VLOOKUP(listeInventaire[[#This Row],[Référence]],listeProduits[],2,FALSE),"")</f>
        <v>Cuisinière CANDY</v>
      </c>
      <c r="E14" s="19" t="str">
        <f>IFERROR(VLOOKUP(listeInventaire[[#This Row],[Référence]],listeProduits[],3,FALSE),"")</f>
        <v>Electro</v>
      </c>
      <c r="F14" s="19" t="str">
        <f>IFERROR(VLOOKUP(listeInventaire[[#This Row],[Référence]],listeProduits[],4,FALSE),"")</f>
        <v>1 unité</v>
      </c>
      <c r="G14" s="21">
        <f>IFERROR(VLOOKUP(listeInventaire[[#This Row],[Référence]],listeProduits[],5,FALSE),"")</f>
        <v>10</v>
      </c>
      <c r="H14" s="21">
        <f>IFERROR(VLOOKUP(listeInventaire[[#This Row],[Référence]],listeProduits[],6,FALSE),"")</f>
        <v>0</v>
      </c>
      <c r="I14" s="21">
        <f>SUMIF(listeAchats[Référence],listeInventaire[[#This Row],[Référence]],listeAchats[Quantité])</f>
        <v>60</v>
      </c>
      <c r="J14" s="21">
        <f>SUMIF(listeVentes[Référence],listeInventaire[[#This Row],[Référence]],listeVentes[Quantité])</f>
        <v>60</v>
      </c>
      <c r="K14" s="21">
        <f>IFERROR(listeInventaire[[#This Row],[Stock initial]]+listeInventaire[[#This Row],[Entrées]]-listeInventaire[[#This Row],[Sorties]],"")</f>
        <v>0</v>
      </c>
      <c r="L14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500</v>
      </c>
      <c r="M14" s="20">
        <f>IFERROR(listeInventaire[[#This Row],[Stock final]]*listeInventaire[[#This Row],[CUMP]],"")</f>
        <v>0</v>
      </c>
      <c r="N14" s="19" t="str">
        <f>IF(listeInventaire[[#This Row],[Stock final]]&gt;listeInventaire[[#This Row],[Seuil d''alerte]],"Stock normal",IF(listeInventaire[[#This Row],[Stock final]]=0,"Non disponible","Stock faible"))</f>
        <v>Non disponible</v>
      </c>
      <c r="O14" s="2"/>
    </row>
    <row r="15" spans="1:19" ht="19.899999999999999" customHeight="1">
      <c r="B15" s="2"/>
      <c r="C15" s="46" t="s">
        <v>35</v>
      </c>
      <c r="D15" s="19" t="str">
        <f>IFERROR(VLOOKUP(listeInventaire[[#This Row],[Référence]],listeProduits[],2,FALSE),"")</f>
        <v xml:space="preserve">PLAYSTATION PS5 </v>
      </c>
      <c r="E15" s="19" t="str">
        <f>IFERROR(VLOOKUP(listeInventaire[[#This Row],[Référence]],listeProduits[],3,FALSE),"")</f>
        <v>Consoles</v>
      </c>
      <c r="F15" s="19" t="str">
        <f>IFERROR(VLOOKUP(listeInventaire[[#This Row],[Référence]],listeProduits[],4,FALSE),"")</f>
        <v>1 unité</v>
      </c>
      <c r="G15" s="21">
        <f>IFERROR(VLOOKUP(listeInventaire[[#This Row],[Référence]],listeProduits[],5,FALSE),"")</f>
        <v>10</v>
      </c>
      <c r="H15" s="21">
        <f>IFERROR(VLOOKUP(listeInventaire[[#This Row],[Référence]],listeProduits[],6,FALSE),"")</f>
        <v>3</v>
      </c>
      <c r="I15" s="21">
        <f>SUMIF(listeAchats[Référence],listeInventaire[[#This Row],[Référence]],listeAchats[Quantité])</f>
        <v>50</v>
      </c>
      <c r="J15" s="21">
        <f>SUMIF(listeVentes[Référence],listeInventaire[[#This Row],[Référence]],listeVentes[Quantité])</f>
        <v>40</v>
      </c>
      <c r="K15" s="21">
        <f>IFERROR(listeInventaire[[#This Row],[Stock initial]]+listeInventaire[[#This Row],[Entrées]]-listeInventaire[[#This Row],[Sorties]],"")</f>
        <v>13</v>
      </c>
      <c r="L15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751.88679245283015</v>
      </c>
      <c r="M15" s="20">
        <f>IFERROR(listeInventaire[[#This Row],[Stock final]]*listeInventaire[[#This Row],[CUMP]],"")</f>
        <v>9774.5283018867922</v>
      </c>
      <c r="N15" s="19" t="str">
        <f>IF(listeInventaire[[#This Row],[Stock final]]&gt;listeInventaire[[#This Row],[Seuil d''alerte]],"Stock normal",IF(listeInventaire[[#This Row],[Stock final]]=0,"Non disponible","Stock faible"))</f>
        <v>Stock normal</v>
      </c>
      <c r="O15" s="2"/>
    </row>
    <row r="16" spans="1:19" ht="19.899999999999999" customHeight="1">
      <c r="B16" s="2"/>
      <c r="C16" s="24" t="s">
        <v>36</v>
      </c>
      <c r="D16" s="19" t="str">
        <f>IFERROR(VLOOKUP(listeInventaire[[#This Row],[Référence]],listeProduits[],2,FALSE),"")</f>
        <v>NINTENDO SWITCH</v>
      </c>
      <c r="E16" s="19" t="str">
        <f>IFERROR(VLOOKUP(listeInventaire[[#This Row],[Référence]],listeProduits[],3,FALSE),"")</f>
        <v>Consoles</v>
      </c>
      <c r="F16" s="19" t="str">
        <f>IFERROR(VLOOKUP(listeInventaire[[#This Row],[Référence]],listeProduits[],4,FALSE),"")</f>
        <v>1 unité</v>
      </c>
      <c r="G16" s="21">
        <f>IFERROR(VLOOKUP(listeInventaire[[#This Row],[Référence]],listeProduits[],5,FALSE),"")</f>
        <v>10</v>
      </c>
      <c r="H16" s="21">
        <f>IFERROR(VLOOKUP(listeInventaire[[#This Row],[Référence]],listeProduits[],6,FALSE),"")</f>
        <v>6</v>
      </c>
      <c r="I16" s="21">
        <f>SUMIF(listeAchats[Référence],listeInventaire[[#This Row],[Référence]],listeAchats[Quantité])</f>
        <v>40</v>
      </c>
      <c r="J16" s="21">
        <f>SUMIF(listeVentes[Référence],listeInventaire[[#This Row],[Référence]],listeVentes[Quantité])</f>
        <v>44</v>
      </c>
      <c r="K16" s="21">
        <f>IFERROR(listeInventaire[[#This Row],[Stock initial]]+listeInventaire[[#This Row],[Entrées]]-listeInventaire[[#This Row],[Sorties]],"")</f>
        <v>2</v>
      </c>
      <c r="L16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407.06521739130437</v>
      </c>
      <c r="M16" s="20">
        <f>IFERROR(listeInventaire[[#This Row],[Stock final]]*listeInventaire[[#This Row],[CUMP]],"")</f>
        <v>814.13043478260875</v>
      </c>
      <c r="N16" s="19" t="str">
        <f>IF(listeInventaire[[#This Row],[Stock final]]&gt;listeInventaire[[#This Row],[Seuil d''alerte]],"Stock normal",IF(listeInventaire[[#This Row],[Stock final]]=0,"Non disponible","Stock faible"))</f>
        <v>Stock faible</v>
      </c>
      <c r="O16" s="2"/>
    </row>
    <row r="17" spans="2:1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2:1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2:1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2:1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</sheetData>
  <mergeCells count="3">
    <mergeCell ref="H3:I3"/>
    <mergeCell ref="H4:J4"/>
    <mergeCell ref="C3:D4"/>
  </mergeCells>
  <phoneticPr fontId="14" type="noConversion"/>
  <conditionalFormatting sqref="N6:N16">
    <cfRule type="containsText" dxfId="47" priority="1" operator="containsText" text="Stock faible">
      <formula>NOT(ISERROR(SEARCH("Stock faible",N6)))</formula>
    </cfRule>
    <cfRule type="containsText" dxfId="46" priority="2" operator="containsText" text="Stock normal">
      <formula>NOT(ISERROR(SEARCH("Stock normal",N6)))</formula>
    </cfRule>
    <cfRule type="containsText" dxfId="45" priority="3" operator="containsText" text="Non disponible">
      <formula>NOT(ISERROR(SEARCH("Non disponible",N6)))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DA118-5C43-4065-9C2B-D76F5E0994BC}">
  <sheetPr codeName="Feuil2"/>
  <dimension ref="A1:K98"/>
  <sheetViews>
    <sheetView topLeftCell="A49" workbookViewId="0">
      <selection activeCell="B78" sqref="B78"/>
    </sheetView>
  </sheetViews>
  <sheetFormatPr baseColWidth="10" defaultRowHeight="15"/>
  <cols>
    <col min="1" max="1" width="21" bestFit="1" customWidth="1"/>
    <col min="2" max="2" width="15.28515625" bestFit="1" customWidth="1"/>
    <col min="3" max="3" width="16.42578125" bestFit="1" customWidth="1"/>
    <col min="4" max="4" width="24.140625" bestFit="1" customWidth="1"/>
    <col min="5" max="5" width="11.5703125" customWidth="1"/>
    <col min="7" max="7" width="12.7109375" bestFit="1" customWidth="1"/>
    <col min="9" max="9" width="13.28515625" bestFit="1" customWidth="1"/>
    <col min="11" max="11" width="11.5703125" customWidth="1"/>
  </cols>
  <sheetData>
    <row r="1" spans="1:11">
      <c r="A1" t="s">
        <v>67</v>
      </c>
      <c r="B1" t="s">
        <v>68</v>
      </c>
      <c r="G1" t="s">
        <v>71</v>
      </c>
      <c r="I1" t="s">
        <v>72</v>
      </c>
      <c r="K1" t="s">
        <v>78</v>
      </c>
    </row>
    <row r="2" spans="1:11">
      <c r="A2" s="58">
        <v>366</v>
      </c>
      <c r="B2" s="48">
        <v>54852.093974764633</v>
      </c>
      <c r="G2" t="s">
        <v>19</v>
      </c>
      <c r="I2" t="s">
        <v>55</v>
      </c>
      <c r="K2" t="s">
        <v>73</v>
      </c>
    </row>
    <row r="3" spans="1:11">
      <c r="G3" t="s">
        <v>60</v>
      </c>
      <c r="I3" t="s">
        <v>38</v>
      </c>
      <c r="K3" t="s">
        <v>74</v>
      </c>
    </row>
    <row r="4" spans="1:11">
      <c r="A4" t="s">
        <v>69</v>
      </c>
      <c r="B4" t="s">
        <v>70</v>
      </c>
      <c r="G4" t="s">
        <v>59</v>
      </c>
      <c r="I4" t="s">
        <v>41</v>
      </c>
      <c r="K4" t="s">
        <v>75</v>
      </c>
    </row>
    <row r="5" spans="1:11">
      <c r="A5" s="58">
        <v>992</v>
      </c>
      <c r="B5" s="49">
        <v>291428.95000000007</v>
      </c>
      <c r="G5" t="s">
        <v>58</v>
      </c>
      <c r="I5" t="s">
        <v>40</v>
      </c>
      <c r="K5" t="s">
        <v>76</v>
      </c>
    </row>
    <row r="6" spans="1:11">
      <c r="I6" t="s">
        <v>39</v>
      </c>
      <c r="K6" t="s">
        <v>77</v>
      </c>
    </row>
    <row r="7" spans="1:11">
      <c r="A7" t="s">
        <v>69</v>
      </c>
      <c r="B7" t="s">
        <v>70</v>
      </c>
      <c r="I7" t="s">
        <v>36</v>
      </c>
    </row>
    <row r="8" spans="1:11">
      <c r="A8" s="58">
        <v>702</v>
      </c>
      <c r="B8" s="49">
        <v>297931</v>
      </c>
      <c r="I8" t="s">
        <v>35</v>
      </c>
    </row>
    <row r="9" spans="1:11">
      <c r="I9" t="s">
        <v>53</v>
      </c>
    </row>
    <row r="10" spans="1:11">
      <c r="A10" s="50" t="s">
        <v>79</v>
      </c>
      <c r="B10" t="s">
        <v>67</v>
      </c>
      <c r="I10" t="s">
        <v>52</v>
      </c>
    </row>
    <row r="11" spans="1:11">
      <c r="A11" s="51" t="s">
        <v>19</v>
      </c>
      <c r="B11" s="58">
        <v>254</v>
      </c>
      <c r="I11" t="s">
        <v>56</v>
      </c>
    </row>
    <row r="12" spans="1:11">
      <c r="A12" s="51" t="s">
        <v>59</v>
      </c>
      <c r="B12" s="58">
        <v>15</v>
      </c>
      <c r="I12" t="s">
        <v>54</v>
      </c>
    </row>
    <row r="13" spans="1:11">
      <c r="A13" s="51" t="s">
        <v>60</v>
      </c>
      <c r="B13" s="58">
        <v>70</v>
      </c>
    </row>
    <row r="14" spans="1:11">
      <c r="A14" s="51" t="s">
        <v>58</v>
      </c>
      <c r="B14" s="58">
        <v>27</v>
      </c>
    </row>
    <row r="15" spans="1:11">
      <c r="A15" s="51" t="s">
        <v>80</v>
      </c>
      <c r="B15" s="58">
        <v>366</v>
      </c>
    </row>
    <row r="17" spans="1:2">
      <c r="A17" s="50" t="s">
        <v>79</v>
      </c>
      <c r="B17" t="s">
        <v>68</v>
      </c>
    </row>
    <row r="18" spans="1:2">
      <c r="A18" s="51" t="s">
        <v>19</v>
      </c>
      <c r="B18" s="48">
        <v>721.43523809523811</v>
      </c>
    </row>
    <row r="19" spans="1:2">
      <c r="A19" s="51" t="s">
        <v>59</v>
      </c>
      <c r="B19" s="48">
        <v>10588.6587366694</v>
      </c>
    </row>
    <row r="20" spans="1:2">
      <c r="A20" s="51" t="s">
        <v>60</v>
      </c>
      <c r="B20" s="48">
        <v>17750</v>
      </c>
    </row>
    <row r="21" spans="1:2">
      <c r="A21" s="51" t="s">
        <v>58</v>
      </c>
      <c r="B21" s="48">
        <v>25792</v>
      </c>
    </row>
    <row r="22" spans="1:2">
      <c r="A22" s="51" t="s">
        <v>80</v>
      </c>
      <c r="B22" s="48">
        <v>54852.093974764641</v>
      </c>
    </row>
    <row r="24" spans="1:2">
      <c r="A24" s="50" t="s">
        <v>79</v>
      </c>
      <c r="B24" t="s">
        <v>69</v>
      </c>
    </row>
    <row r="25" spans="1:2">
      <c r="A25" s="51" t="s">
        <v>81</v>
      </c>
      <c r="B25" s="52">
        <v>562</v>
      </c>
    </row>
    <row r="26" spans="1:2">
      <c r="A26" s="51" t="s">
        <v>59</v>
      </c>
      <c r="B26" s="52">
        <v>90</v>
      </c>
    </row>
    <row r="27" spans="1:2">
      <c r="A27" s="51" t="s">
        <v>60</v>
      </c>
      <c r="B27" s="52">
        <v>189</v>
      </c>
    </row>
    <row r="28" spans="1:2">
      <c r="A28" s="51" t="s">
        <v>58</v>
      </c>
      <c r="B28" s="52">
        <v>151</v>
      </c>
    </row>
    <row r="29" spans="1:2">
      <c r="A29" s="51" t="s">
        <v>80</v>
      </c>
      <c r="B29" s="58">
        <v>992</v>
      </c>
    </row>
    <row r="31" spans="1:2">
      <c r="A31" s="50" t="s">
        <v>79</v>
      </c>
      <c r="B31" t="s">
        <v>70</v>
      </c>
    </row>
    <row r="32" spans="1:2">
      <c r="A32" s="51" t="s">
        <v>81</v>
      </c>
      <c r="B32" s="48">
        <v>1593.9500000000003</v>
      </c>
    </row>
    <row r="33" spans="1:2">
      <c r="A33" s="51" t="s">
        <v>59</v>
      </c>
      <c r="B33" s="48">
        <v>53925</v>
      </c>
    </row>
    <row r="34" spans="1:2">
      <c r="A34" s="51" t="s">
        <v>60</v>
      </c>
      <c r="B34" s="48">
        <v>68550</v>
      </c>
    </row>
    <row r="35" spans="1:2">
      <c r="A35" s="51" t="s">
        <v>58</v>
      </c>
      <c r="B35" s="48">
        <v>167360</v>
      </c>
    </row>
    <row r="36" spans="1:2">
      <c r="A36" s="51" t="s">
        <v>80</v>
      </c>
      <c r="B36" s="48">
        <v>291428.95000000007</v>
      </c>
    </row>
    <row r="38" spans="1:2">
      <c r="A38" s="50" t="s">
        <v>79</v>
      </c>
      <c r="B38" t="s">
        <v>69</v>
      </c>
    </row>
    <row r="39" spans="1:2">
      <c r="A39" s="51" t="s">
        <v>81</v>
      </c>
      <c r="B39" s="58">
        <v>338</v>
      </c>
    </row>
    <row r="40" spans="1:2">
      <c r="A40" s="51" t="s">
        <v>59</v>
      </c>
      <c r="B40" s="58">
        <v>84</v>
      </c>
    </row>
    <row r="41" spans="1:2">
      <c r="A41" s="51" t="s">
        <v>60</v>
      </c>
      <c r="B41" s="58">
        <v>133</v>
      </c>
    </row>
    <row r="42" spans="1:2">
      <c r="A42" s="51" t="s">
        <v>58</v>
      </c>
      <c r="B42" s="58">
        <v>147</v>
      </c>
    </row>
    <row r="43" spans="1:2">
      <c r="A43" s="51" t="s">
        <v>80</v>
      </c>
      <c r="B43" s="58">
        <v>702</v>
      </c>
    </row>
    <row r="45" spans="1:2">
      <c r="A45" s="50" t="s">
        <v>79</v>
      </c>
      <c r="B45" t="s">
        <v>70</v>
      </c>
    </row>
    <row r="46" spans="1:2">
      <c r="A46" s="51" t="s">
        <v>81</v>
      </c>
      <c r="B46" s="48">
        <v>1141</v>
      </c>
    </row>
    <row r="47" spans="1:2">
      <c r="A47" s="51" t="s">
        <v>59</v>
      </c>
      <c r="B47" s="48">
        <v>57320</v>
      </c>
    </row>
    <row r="48" spans="1:2">
      <c r="A48" s="51" t="s">
        <v>60</v>
      </c>
      <c r="B48" s="48">
        <v>67960</v>
      </c>
    </row>
    <row r="49" spans="1:7">
      <c r="A49" s="51" t="s">
        <v>58</v>
      </c>
      <c r="B49" s="48">
        <v>171510</v>
      </c>
    </row>
    <row r="50" spans="1:7">
      <c r="A50" s="51" t="s">
        <v>80</v>
      </c>
      <c r="B50" s="48">
        <v>297931</v>
      </c>
    </row>
    <row r="52" spans="1:7">
      <c r="A52" s="50" t="s">
        <v>79</v>
      </c>
      <c r="B52" t="s">
        <v>69</v>
      </c>
      <c r="G52" t="s">
        <v>87</v>
      </c>
    </row>
    <row r="53" spans="1:7">
      <c r="A53" s="51" t="s">
        <v>82</v>
      </c>
      <c r="B53" s="58">
        <v>137</v>
      </c>
      <c r="E53" t="s">
        <v>82</v>
      </c>
      <c r="F53">
        <f>VLOOKUP(E53,A$53:B$57,2,FALSE)</f>
        <v>137</v>
      </c>
      <c r="G53" t="str">
        <f>IF(F53=MAX(F$53:F$57),F53,"")</f>
        <v/>
      </c>
    </row>
    <row r="54" spans="1:7">
      <c r="A54" s="51" t="s">
        <v>83</v>
      </c>
      <c r="B54" s="58">
        <v>184</v>
      </c>
      <c r="E54" t="s">
        <v>83</v>
      </c>
      <c r="F54">
        <f t="shared" ref="F54:F57" si="0">VLOOKUP(E54,A$53:B$57,2,FALSE)</f>
        <v>184</v>
      </c>
      <c r="G54" t="str">
        <f t="shared" ref="G54:G57" si="1">IF(F54=MAX(F$53:F$57),F54,"")</f>
        <v/>
      </c>
    </row>
    <row r="55" spans="1:7">
      <c r="A55" s="51" t="s">
        <v>84</v>
      </c>
      <c r="B55" s="58">
        <v>142</v>
      </c>
      <c r="E55" t="s">
        <v>84</v>
      </c>
      <c r="F55">
        <f t="shared" si="0"/>
        <v>142</v>
      </c>
      <c r="G55" t="str">
        <f t="shared" si="1"/>
        <v/>
      </c>
    </row>
    <row r="56" spans="1:7">
      <c r="A56" s="51" t="s">
        <v>85</v>
      </c>
      <c r="B56" s="58">
        <v>106</v>
      </c>
      <c r="E56" t="s">
        <v>85</v>
      </c>
      <c r="F56">
        <f t="shared" si="0"/>
        <v>106</v>
      </c>
      <c r="G56" t="str">
        <f t="shared" si="1"/>
        <v/>
      </c>
    </row>
    <row r="57" spans="1:7">
      <c r="A57" s="51" t="s">
        <v>86</v>
      </c>
      <c r="B57" s="58">
        <v>423</v>
      </c>
      <c r="E57" t="s">
        <v>86</v>
      </c>
      <c r="F57">
        <f t="shared" si="0"/>
        <v>423</v>
      </c>
      <c r="G57">
        <f t="shared" si="1"/>
        <v>423</v>
      </c>
    </row>
    <row r="58" spans="1:7">
      <c r="A58" s="51" t="s">
        <v>80</v>
      </c>
      <c r="B58" s="58">
        <v>992</v>
      </c>
    </row>
    <row r="60" spans="1:7">
      <c r="A60" s="50" t="s">
        <v>79</v>
      </c>
      <c r="B60" t="s">
        <v>69</v>
      </c>
      <c r="F60" t="s">
        <v>87</v>
      </c>
    </row>
    <row r="61" spans="1:7">
      <c r="A61" s="51" t="s">
        <v>82</v>
      </c>
      <c r="B61" s="58">
        <v>71</v>
      </c>
      <c r="E61" t="s">
        <v>82</v>
      </c>
      <c r="F61">
        <f>VLOOKUP(E61,A61:B65,2,FALSE)</f>
        <v>71</v>
      </c>
      <c r="G61" t="str">
        <f>IF(F61=MAX(F$61:F$65),F61,"")</f>
        <v/>
      </c>
    </row>
    <row r="62" spans="1:7">
      <c r="A62" s="51" t="s">
        <v>83</v>
      </c>
      <c r="B62" s="58">
        <v>100</v>
      </c>
      <c r="E62" t="s">
        <v>83</v>
      </c>
      <c r="F62">
        <f t="shared" ref="F62:F65" si="2">VLOOKUP(E62,A62:B66,2,FALSE)</f>
        <v>100</v>
      </c>
      <c r="G62" t="str">
        <f t="shared" ref="G62:G65" si="3">IF(F62=MAX(F$61:F$65),F62,"")</f>
        <v/>
      </c>
    </row>
    <row r="63" spans="1:7">
      <c r="A63" s="51" t="s">
        <v>84</v>
      </c>
      <c r="B63" s="58">
        <v>187</v>
      </c>
      <c r="E63" t="s">
        <v>84</v>
      </c>
      <c r="F63">
        <f t="shared" si="2"/>
        <v>187</v>
      </c>
      <c r="G63" t="str">
        <f t="shared" si="3"/>
        <v/>
      </c>
    </row>
    <row r="64" spans="1:7">
      <c r="A64" s="51" t="s">
        <v>85</v>
      </c>
      <c r="B64" s="58">
        <v>253</v>
      </c>
      <c r="E64" t="s">
        <v>85</v>
      </c>
      <c r="F64">
        <f t="shared" si="2"/>
        <v>253</v>
      </c>
      <c r="G64">
        <f t="shared" si="3"/>
        <v>253</v>
      </c>
    </row>
    <row r="65" spans="1:7">
      <c r="A65" s="51" t="s">
        <v>86</v>
      </c>
      <c r="B65" s="58">
        <v>91</v>
      </c>
      <c r="E65" t="s">
        <v>86</v>
      </c>
      <c r="F65">
        <f t="shared" si="2"/>
        <v>91</v>
      </c>
      <c r="G65" t="str">
        <f t="shared" si="3"/>
        <v/>
      </c>
    </row>
    <row r="66" spans="1:7">
      <c r="A66" s="51" t="s">
        <v>80</v>
      </c>
      <c r="B66" s="58">
        <v>702</v>
      </c>
    </row>
    <row r="67" spans="1:7">
      <c r="A67" s="48"/>
    </row>
    <row r="68" spans="1:7">
      <c r="A68" s="50" t="s">
        <v>79</v>
      </c>
      <c r="B68" s="48" t="s">
        <v>70</v>
      </c>
      <c r="C68" s="48" t="s">
        <v>88</v>
      </c>
    </row>
    <row r="69" spans="1:7">
      <c r="A69" s="51" t="s">
        <v>82</v>
      </c>
      <c r="B69" s="48">
        <v>51548</v>
      </c>
      <c r="C69" s="48">
        <v>51548</v>
      </c>
    </row>
    <row r="70" spans="1:7">
      <c r="A70" s="51" t="s">
        <v>83</v>
      </c>
      <c r="B70" s="48">
        <v>76664.399999999994</v>
      </c>
      <c r="C70" s="48">
        <v>76664.399999999994</v>
      </c>
    </row>
    <row r="71" spans="1:7">
      <c r="A71" s="51" t="s">
        <v>84</v>
      </c>
      <c r="B71" s="48">
        <v>38248</v>
      </c>
      <c r="C71" s="48">
        <v>38248</v>
      </c>
    </row>
    <row r="72" spans="1:7">
      <c r="A72" s="51" t="s">
        <v>85</v>
      </c>
      <c r="B72" s="48">
        <v>48081.15</v>
      </c>
      <c r="C72" s="48">
        <v>48081.15</v>
      </c>
    </row>
    <row r="73" spans="1:7">
      <c r="A73" s="51" t="s">
        <v>86</v>
      </c>
      <c r="B73" s="48">
        <v>76887.399999999994</v>
      </c>
      <c r="C73" s="48">
        <v>76887.399999999994</v>
      </c>
    </row>
    <row r="74" spans="1:7">
      <c r="A74" s="51" t="s">
        <v>80</v>
      </c>
      <c r="B74" s="48">
        <v>291428.95000000007</v>
      </c>
      <c r="C74" s="48">
        <v>291428.95000000007</v>
      </c>
    </row>
    <row r="76" spans="1:7">
      <c r="A76" s="50" t="s">
        <v>79</v>
      </c>
      <c r="B76" t="s">
        <v>70</v>
      </c>
      <c r="C76" t="s">
        <v>88</v>
      </c>
    </row>
    <row r="77" spans="1:7">
      <c r="A77" s="51" t="s">
        <v>82</v>
      </c>
      <c r="B77" s="59">
        <v>38385.299999999996</v>
      </c>
      <c r="C77" s="59">
        <v>38385.299999999996</v>
      </c>
    </row>
    <row r="78" spans="1:7">
      <c r="A78" s="51" t="s">
        <v>83</v>
      </c>
      <c r="B78" s="59">
        <v>60319.5</v>
      </c>
      <c r="C78" s="59">
        <v>60319.5</v>
      </c>
    </row>
    <row r="79" spans="1:7">
      <c r="A79" s="51" t="s">
        <v>84</v>
      </c>
      <c r="B79" s="59">
        <v>69065</v>
      </c>
      <c r="C79" s="59">
        <v>69065</v>
      </c>
    </row>
    <row r="80" spans="1:7">
      <c r="A80" s="51" t="s">
        <v>85</v>
      </c>
      <c r="B80" s="59">
        <v>74985</v>
      </c>
      <c r="C80" s="59">
        <v>74985</v>
      </c>
    </row>
    <row r="81" spans="1:6">
      <c r="A81" s="51" t="s">
        <v>86</v>
      </c>
      <c r="B81" s="59">
        <v>55176.2</v>
      </c>
      <c r="C81" s="59">
        <v>55176.2</v>
      </c>
    </row>
    <row r="82" spans="1:6">
      <c r="A82" s="51" t="s">
        <v>80</v>
      </c>
      <c r="B82" s="59">
        <v>297931</v>
      </c>
      <c r="C82" s="59">
        <v>297931</v>
      </c>
    </row>
    <row r="84" spans="1:6">
      <c r="A84" s="50" t="s">
        <v>79</v>
      </c>
      <c r="B84" t="s">
        <v>70</v>
      </c>
    </row>
    <row r="85" spans="1:6">
      <c r="A85" s="51" t="s">
        <v>61</v>
      </c>
      <c r="B85" s="48">
        <v>35400</v>
      </c>
    </row>
    <row r="86" spans="1:6">
      <c r="A86" s="51" t="s">
        <v>51</v>
      </c>
      <c r="B86" s="48">
        <v>42010</v>
      </c>
    </row>
    <row r="87" spans="1:6">
      <c r="A87" s="51" t="s">
        <v>66</v>
      </c>
      <c r="B87" s="48">
        <v>129500</v>
      </c>
    </row>
    <row r="88" spans="1:6">
      <c r="A88" s="51" t="s">
        <v>80</v>
      </c>
      <c r="B88" s="48">
        <v>206910</v>
      </c>
    </row>
    <row r="92" spans="1:6">
      <c r="A92" s="50" t="s">
        <v>16</v>
      </c>
      <c r="B92" t="s">
        <v>89</v>
      </c>
    </row>
    <row r="94" spans="1:6">
      <c r="A94" s="50" t="s">
        <v>79</v>
      </c>
      <c r="B94" t="s">
        <v>67</v>
      </c>
    </row>
    <row r="95" spans="1:6">
      <c r="A95" s="51" t="s">
        <v>61</v>
      </c>
      <c r="B95" s="58">
        <v>0</v>
      </c>
      <c r="D95" t="str">
        <f>A95</f>
        <v>Cuisinière CANDY</v>
      </c>
      <c r="E95">
        <f>VLOOKUP(D95,A$95:B$97,2,FALSE)</f>
        <v>0</v>
      </c>
      <c r="F95" t="str">
        <f>IF(E95=0,"Non disponible","Stock faible")</f>
        <v>Non disponible</v>
      </c>
    </row>
    <row r="96" spans="1:6">
      <c r="A96" s="51" t="s">
        <v>50</v>
      </c>
      <c r="B96" s="58">
        <v>2</v>
      </c>
      <c r="D96" t="str">
        <f t="shared" ref="D96:D97" si="4">A96</f>
        <v>NINTENDO SWITCH</v>
      </c>
      <c r="E96">
        <f t="shared" ref="E96:E97" si="5">VLOOKUP(D96,A$95:B$97,2,FALSE)</f>
        <v>2</v>
      </c>
      <c r="F96" t="str">
        <f t="shared" ref="F96:F97" si="6">IF(E96=0,"Non disponible","Stock faible")</f>
        <v>Stock faible</v>
      </c>
    </row>
    <row r="97" spans="1:6">
      <c r="A97" s="51" t="s">
        <v>64</v>
      </c>
      <c r="B97" s="58">
        <v>8</v>
      </c>
      <c r="D97" t="str">
        <f t="shared" si="4"/>
        <v>Réfrigérateur WHIRLPOOL</v>
      </c>
      <c r="E97">
        <f t="shared" si="5"/>
        <v>8</v>
      </c>
      <c r="F97" t="str">
        <f t="shared" si="6"/>
        <v>Stock faible</v>
      </c>
    </row>
    <row r="98" spans="1:6">
      <c r="A98" s="51" t="s">
        <v>80</v>
      </c>
      <c r="B98" s="58">
        <v>10</v>
      </c>
    </row>
  </sheetData>
  <phoneticPr fontId="14" type="noConversion"/>
  <pageMargins left="0.7" right="0.7" top="0.75" bottom="0.75" header="0.3" footer="0.3"/>
  <drawing r:id="rId16"/>
  <tableParts count="3">
    <tablePart r:id="rId17"/>
    <tablePart r:id="rId18"/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F1386F5-9FF7-4D23-B53A-FEEFBA46DB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Tableau de Bord</vt:lpstr>
      <vt:lpstr>Opérations</vt:lpstr>
      <vt:lpstr>Marchandises</vt:lpstr>
      <vt:lpstr>Entrées</vt:lpstr>
      <vt:lpstr>Sorties</vt:lpstr>
      <vt:lpstr>Inventaire </vt:lpstr>
      <vt:lpstr>Traitement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Hassan Bahi</dc:creator>
  <cp:lastModifiedBy>Mariane AMOUSSOU</cp:lastModifiedBy>
  <dcterms:created xsi:type="dcterms:W3CDTF">2015-06-05T18:19:34Z</dcterms:created>
  <dcterms:modified xsi:type="dcterms:W3CDTF">2026-03-11T17:10:29Z</dcterms:modified>
</cp:coreProperties>
</file>